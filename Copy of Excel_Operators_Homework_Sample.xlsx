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19425" windowHeight="10305"/>
  </bookViews>
  <sheets>
    <sheet name="Employees" sheetId="1" r:id="rId1"/>
    <sheet name="Homework" sheetId="2" r:id="rId2"/>
    <sheet name="Instructions" sheetId="3" r:id="rId3"/>
  </sheets>
  <definedNames>
    <definedName name="_xlnm._FilterDatabase" localSheetId="0" hidden="1">Employees!$A$1:$V$16</definedName>
    <definedName name="_xlnm._FilterDatabase" localSheetId="1" hidden="1">Homework!$A$1:$D$21</definedName>
    <definedName name="_xlnm._FilterDatabase" localSheetId="2" hidden="1">Instructions!$A$1:$A$6</definedName>
  </definedNames>
  <calcPr calcId="124519"/>
</workbook>
</file>

<file path=xl/calcChain.xml><?xml version="1.0" encoding="utf-8"?>
<calcChain xmlns="http://schemas.openxmlformats.org/spreadsheetml/2006/main">
  <c r="AC2" i="1"/>
  <c r="AC3"/>
  <c r="AC4"/>
  <c r="AC5"/>
  <c r="AC6"/>
  <c r="AC7"/>
  <c r="AC8"/>
  <c r="AC9"/>
  <c r="AC10"/>
  <c r="AC11"/>
  <c r="AC12"/>
  <c r="AC13"/>
  <c r="AC14"/>
  <c r="AC15"/>
  <c r="AC16"/>
  <c r="AB2"/>
  <c r="AB3"/>
  <c r="AB4"/>
  <c r="AB5"/>
  <c r="AB6"/>
  <c r="AB7"/>
  <c r="AB8"/>
  <c r="AB9"/>
  <c r="AB10"/>
  <c r="AB11"/>
  <c r="AB12"/>
  <c r="AB13"/>
  <c r="AB14"/>
  <c r="AB15"/>
  <c r="AB16"/>
  <c r="AA2"/>
  <c r="AA3"/>
  <c r="AA4"/>
  <c r="AA5"/>
  <c r="AA6"/>
  <c r="AA7"/>
  <c r="AA8"/>
  <c r="AA9"/>
  <c r="AA10"/>
  <c r="AA11"/>
  <c r="AA12"/>
  <c r="AA13"/>
  <c r="AA14"/>
  <c r="AA15"/>
  <c r="AA16"/>
  <c r="Z2"/>
  <c r="Z3"/>
  <c r="Z4"/>
  <c r="Z5"/>
  <c r="Z6"/>
  <c r="Z7"/>
  <c r="Z8"/>
  <c r="Z9"/>
  <c r="Z10"/>
  <c r="Z11"/>
  <c r="Z12"/>
  <c r="Z13"/>
  <c r="Z14"/>
  <c r="Z15"/>
  <c r="Z16"/>
  <c r="Y2"/>
  <c r="Y3"/>
  <c r="Y4"/>
  <c r="Y5"/>
  <c r="Y6"/>
  <c r="Y7"/>
  <c r="Y8"/>
  <c r="Y9"/>
  <c r="Y10"/>
  <c r="Y11"/>
  <c r="Y12"/>
  <c r="Y13"/>
  <c r="Y14"/>
  <c r="Y15"/>
  <c r="Y16"/>
  <c r="X2"/>
  <c r="X3"/>
  <c r="X4"/>
  <c r="X5"/>
  <c r="X6"/>
  <c r="X7"/>
  <c r="X8"/>
  <c r="X9"/>
  <c r="X10"/>
  <c r="X11"/>
  <c r="X12"/>
  <c r="X13"/>
  <c r="X14"/>
  <c r="X15"/>
  <c r="X16"/>
  <c r="W2"/>
  <c r="W3"/>
  <c r="W4"/>
  <c r="W5"/>
  <c r="W6"/>
  <c r="W7"/>
  <c r="W8"/>
  <c r="W9"/>
  <c r="W10"/>
  <c r="W11"/>
  <c r="W12"/>
  <c r="W13"/>
  <c r="W14"/>
  <c r="W15"/>
  <c r="W16"/>
  <c r="T2"/>
  <c r="T3"/>
  <c r="T4"/>
  <c r="T5"/>
  <c r="T6"/>
  <c r="T7"/>
  <c r="T8"/>
  <c r="T9"/>
  <c r="T10"/>
  <c r="T11"/>
  <c r="T12"/>
  <c r="T13"/>
  <c r="T14"/>
  <c r="T15"/>
  <c r="T16"/>
  <c r="D14"/>
  <c r="D15"/>
  <c r="D16"/>
  <c r="D3"/>
  <c r="D4"/>
  <c r="D5"/>
  <c r="D6"/>
  <c r="D7"/>
  <c r="D8"/>
  <c r="D9"/>
  <c r="D10"/>
  <c r="D11"/>
  <c r="D12"/>
  <c r="D13"/>
  <c r="D2"/>
  <c r="U2"/>
  <c r="U3"/>
  <c r="U4"/>
  <c r="U5"/>
  <c r="U6"/>
  <c r="U7"/>
  <c r="U8"/>
  <c r="U9"/>
  <c r="U10"/>
  <c r="U11"/>
  <c r="U12"/>
  <c r="U13"/>
  <c r="U14"/>
  <c r="U15"/>
  <c r="U16"/>
  <c r="Q2"/>
  <c r="Q3"/>
  <c r="Q4"/>
  <c r="Q5"/>
  <c r="Q6"/>
  <c r="Q7"/>
  <c r="Q8"/>
  <c r="Q9"/>
  <c r="Q10"/>
  <c r="Q11"/>
  <c r="Q12"/>
  <c r="Q13"/>
  <c r="Q14"/>
  <c r="Q15"/>
  <c r="Q16"/>
  <c r="O2"/>
  <c r="O3"/>
  <c r="O4"/>
  <c r="O5"/>
  <c r="O6"/>
  <c r="O7"/>
  <c r="O8"/>
  <c r="O9"/>
  <c r="O10"/>
  <c r="O11"/>
  <c r="O12"/>
  <c r="O13"/>
  <c r="O14"/>
  <c r="O15"/>
  <c r="O16"/>
  <c r="M3"/>
  <c r="M2"/>
  <c r="M4"/>
  <c r="M5"/>
  <c r="M6"/>
  <c r="M7"/>
  <c r="M8"/>
  <c r="M9"/>
  <c r="M10"/>
  <c r="M11"/>
  <c r="M12"/>
  <c r="M13"/>
  <c r="M14"/>
  <c r="M15"/>
  <c r="M16"/>
  <c r="L2"/>
  <c r="L3"/>
  <c r="L4"/>
  <c r="L5"/>
  <c r="L6"/>
  <c r="L7"/>
  <c r="L8"/>
  <c r="L9"/>
  <c r="L10"/>
  <c r="L11"/>
  <c r="L12"/>
  <c r="L13"/>
  <c r="L14"/>
  <c r="L15"/>
  <c r="L16"/>
  <c r="K2"/>
  <c r="K3"/>
  <c r="K4"/>
  <c r="K5"/>
  <c r="K6"/>
  <c r="K7"/>
  <c r="K8"/>
  <c r="K9"/>
  <c r="K10"/>
  <c r="K11"/>
  <c r="K12"/>
  <c r="K13"/>
  <c r="K14"/>
  <c r="K15"/>
  <c r="K16"/>
  <c r="I3"/>
  <c r="I4"/>
  <c r="I5"/>
  <c r="I6"/>
  <c r="I7"/>
  <c r="I8"/>
  <c r="I9"/>
  <c r="I10"/>
  <c r="I11"/>
  <c r="I12"/>
  <c r="I13"/>
  <c r="I14"/>
  <c r="I15"/>
  <c r="I16"/>
  <c r="I2"/>
  <c r="H3"/>
  <c r="H4"/>
  <c r="H5"/>
  <c r="H6"/>
  <c r="H7"/>
  <c r="H8"/>
  <c r="H9"/>
  <c r="H10"/>
  <c r="H11"/>
  <c r="H12"/>
  <c r="H13"/>
  <c r="H14"/>
  <c r="H15"/>
  <c r="H16"/>
  <c r="H2"/>
  <c r="J6"/>
  <c r="J3"/>
  <c r="J4"/>
  <c r="J5"/>
  <c r="J7"/>
  <c r="J8"/>
  <c r="J9"/>
  <c r="J10"/>
  <c r="J11"/>
  <c r="J12"/>
  <c r="J13"/>
  <c r="J14"/>
  <c r="J15"/>
  <c r="J16"/>
  <c r="J2"/>
  <c r="G3"/>
  <c r="G4"/>
  <c r="G5"/>
  <c r="G6"/>
  <c r="G7"/>
  <c r="G8"/>
  <c r="G9"/>
  <c r="G10"/>
  <c r="G11"/>
  <c r="G12"/>
  <c r="G13"/>
  <c r="G14"/>
  <c r="G15"/>
  <c r="G16"/>
  <c r="G2"/>
</calcChain>
</file>

<file path=xl/sharedStrings.xml><?xml version="1.0" encoding="utf-8"?>
<sst xmlns="http://schemas.openxmlformats.org/spreadsheetml/2006/main" count="145" uniqueCount="107">
  <si>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</si>
  <si>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</si>
  <si>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</si>
  <si>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</si>
  <si>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</si>
  <si>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</si>
  <si>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</si>
  <si>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</si>
  <si>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</si>
  <si>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</si>
  <si>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</si>
  <si>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</si>
  <si>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</si>
  <si>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</si>
  <si>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</si>
  <si>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</si>
  <si>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</si>
  <si>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</si>
  <si>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</si>
  <si>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</si>
  <si>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</si>
  <si>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</si>
  <si>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</si>
  <si>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</si>
  <si>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</si>
  <si>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</si>
  <si>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</si>
  <si>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</si>
  <si>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</si>
  <si>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</si>
  <si>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</si>
  <si>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</si>
  <si>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</si>
  <si>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</si>
  <si>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</si>
  <si>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</si>
  <si>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</si>
  <si>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</si>
  <si>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</si>
  <si>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</si>
  <si>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</si>
  <si>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</si>
  <si>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</si>
  <si>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</si>
  <si>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</si>
  <si>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</si>
  <si>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</si>
  <si>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</si>
  <si>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</si>
  <si>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</si>
  <si>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</si>
  <si>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</si>
  <si>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</si>
  <si>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</si>
  <si>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</si>
  <si>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</si>
  <si>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</si>
  <si>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</si>
  <si>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</si>
  <si>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</si>
  <si>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</si>
  <si>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</si>
  <si>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</si>
  <si>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</si>
  <si>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</si>
  <si>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</si>
  <si>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</si>
  <si>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</si>
  <si>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</si>
  <si>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</si>
  <si>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</si>
  <si>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</si>
  <si>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</si>
  <si>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</si>
  <si>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</si>
  <si>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</si>
  <si>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</si>
  <si>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</si>
  <si>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</si>
  <si>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</si>
  <si>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</si>
  <si>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</si>
  <si>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</si>
  <si>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</si>
  <si>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</si>
  <si>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</si>
  <si>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</si>
  <si>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</si>
  <si>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annual salary</t>
  </si>
  <si>
    <t>bonus as 8%</t>
  </si>
  <si>
    <t>difference from 60000</t>
  </si>
  <si>
    <t>10% INCREMENT</t>
  </si>
  <si>
    <t>SALARY &gt;80000</t>
  </si>
  <si>
    <t>SALARY =75000.</t>
  </si>
  <si>
    <t>SALARY NOT EQUALS 70000</t>
  </si>
  <si>
    <t xml:space="preserve"> PROJECT &gt;=4</t>
  </si>
  <si>
    <t>TRAINING HOURS &lt;3</t>
  </si>
  <si>
    <t>SALARY .=75000 &amp;PERFORMANCE MET 1</t>
  </si>
  <si>
    <t>FINANCE OR IT</t>
  </si>
  <si>
    <t>NOT ELIGIBLE FOR ATTENDANCE BONUS</t>
  </si>
  <si>
    <t>SALARY&gt;=80000 PROJECT &gt;=4</t>
  </si>
  <si>
    <t>EMPLOYEE NAME &amp;DPMT</t>
  </si>
  <si>
    <t>IT AND SALARY &gt;70000</t>
  </si>
  <si>
    <t>FINANCE AND &lt;60000</t>
  </si>
  <si>
    <t>5%INCREASE AND COMPARE IT WITH 80000</t>
  </si>
  <si>
    <t>PERFORMANCE ALLOWANCE</t>
  </si>
  <si>
    <t>FINAL ELIGIBILITY</t>
  </si>
</sst>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4" fontId="0" fillId="3" borderId="0" xfId="0" applyNumberFormat="1" applyFill="1" applyAlignment="1">
      <alignment vertical="top" wrapText="1"/>
    </xf>
    <xf numFmtId="0" fontId="0" fillId="3" borderId="0" xfId="0" applyFill="1"/>
    <xf numFmtId="0" fontId="3" fillId="3" borderId="2" xfId="0" applyFont="1" applyFill="1" applyBorder="1" applyAlignment="1">
      <alignment vertical="center" wrapText="1"/>
    </xf>
    <xf numFmtId="164" fontId="0" fillId="3" borderId="0" xfId="0" applyNumberFormat="1" applyFill="1" applyAlignment="1">
      <alignment horizontal="right" vertical="top" wrapText="1"/>
    </xf>
    <xf numFmtId="0" fontId="0" fillId="3" borderId="0" xfId="0" applyFill="1" applyAlignment="1">
      <alignment horizontal="right"/>
    </xf>
    <xf numFmtId="0" fontId="3" fillId="3" borderId="2" xfId="0" applyFont="1" applyFill="1" applyBorder="1" applyAlignment="1">
      <alignment horizontal="right" vertical="center" wrapText="1"/>
    </xf>
    <xf numFmtId="165" fontId="0" fillId="3" borderId="0" xfId="0" applyNumberFormat="1" applyFill="1" applyAlignment="1">
      <alignment horizontal="right" vertical="top" wrapText="1"/>
    </xf>
    <xf numFmtId="0" fontId="0" fillId="3" borderId="0" xfId="0" applyNumberFormat="1" applyFill="1" applyAlignment="1">
      <alignment horizontal="right" vertical="top" wrapText="1"/>
    </xf>
    <xf numFmtId="0" fontId="0" fillId="3" borderId="0" xfId="0" applyNumberForma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0" xfId="0" applyFill="1"/>
    <xf numFmtId="0" fontId="0" fillId="0" borderId="0" xfId="0" applyFill="1" applyAlignment="1">
      <alignment horizontal="right"/>
    </xf>
    <xf numFmtId="0" fontId="2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38">
    <dxf>
      <numFmt numFmtId="0" formatCode="General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fill>
        <patternFill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border outline="0">
        <top style="thin">
          <color auto="1"/>
        </top>
      </border>
    </dxf>
    <dxf>
      <alignment horizontal="general" vertical="top" textRotation="0" wrapText="1" indent="0" relativeIndent="0" justifyLastLine="0" shrinkToFit="0" mergeCell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numFmt numFmtId="0" formatCode="General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numFmt numFmtId="0" formatCode="General"/>
      <fill>
        <patternFill patternType="none"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numFmt numFmtId="0" formatCode="General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numFmt numFmtId="0" formatCode="General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numFmt numFmtId="0" formatCode="General"/>
      <fill>
        <patternFill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numFmt numFmtId="0" formatCode="General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numFmt numFmtId="0" formatCode="General"/>
      <fill>
        <patternFill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alignment horizontal="general" vertical="top" textRotation="0" wrapText="1" indent="0" relativeIndent="0" justifyLastLine="0" shrinkToFit="0" mergeCell="0" readingOrder="0"/>
    </dxf>
    <dxf>
      <numFmt numFmtId="165" formatCode="yyyy\-mm\-dd"/>
      <fill>
        <patternFill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numFmt numFmtId="165" formatCode="yyyy\-mm\-dd"/>
      <alignment horizontal="general" vertical="top" textRotation="0" wrapText="1" indent="0" relativeIndent="0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right" vertical="top" textRotation="0" wrapText="1" indent="0" relativeIndent="0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right" vertical="top" textRotation="0" wrapText="1" indent="0" relativeIndent="0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right" vertical="top" textRotation="0" wrapText="1" indent="0" relativeIndent="255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right" vertical="top" textRotation="0" wrapText="1" indent="0" relativeIndent="0" justifyLastLine="0" shrinkToFit="0" mergeCell="0" readingOrder="0"/>
    </dxf>
    <dxf>
      <numFmt numFmtId="164" formatCode="&quot;₹&quot;#,##0.00"/>
      <fill>
        <patternFill>
          <fgColor indexed="64"/>
          <bgColor rgb="FFFFFF00"/>
        </patternFill>
      </fill>
      <alignment horizontal="general" vertical="top" textRotation="0" wrapText="1" indent="0" relativeIndent="0" justifyLastLine="0" shrinkToFit="0" mergeCell="0" readingOrder="0"/>
    </dxf>
    <dxf>
      <numFmt numFmtId="164" formatCode="&quot;₹&quot;#,##0.00"/>
      <alignment horizontal="general" vertical="top" textRotation="0" wrapText="1" indent="0" relativeIndent="0" justifyLastLine="0" shrinkToFit="0" mergeCell="0" readingOrder="0"/>
    </dxf>
    <dxf>
      <border outline="0">
        <top style="thin">
          <color auto="1"/>
        </top>
      </border>
    </dxf>
    <dxf>
      <alignment horizontal="general" vertical="top" textRotation="0" wrapText="1" indent="0" relativeIndent="0" justifyLastLine="0" shrinkToFit="0" mergeCell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F1:AC16" totalsRowShown="0" headerRowDxfId="36" dataDxfId="34" headerRowBorderDxfId="35" tableBorderDxfId="33">
  <autoFilter ref="F1:AC16">
    <filterColumn colId="5"/>
    <filterColumn colId="6"/>
    <filterColumn colId="7"/>
    <filterColumn colId="9"/>
    <filterColumn colId="11"/>
    <filterColumn colId="14"/>
    <filterColumn colId="15"/>
    <filterColumn colId="17"/>
    <filterColumn colId="18"/>
    <filterColumn colId="19"/>
    <filterColumn colId="20"/>
    <filterColumn colId="21"/>
    <filterColumn colId="22"/>
    <filterColumn colId="23"/>
  </autoFilter>
  <tableColumns count="24">
    <tableColumn id="1" name="Salary" dataDxfId="32"/>
    <tableColumn id="2" name="annual salary" dataDxfId="31">
      <calculatedColumnFormula>F2*12</calculatedColumnFormula>
    </tableColumn>
    <tableColumn id="3" name="bonus as 8%" dataDxfId="30">
      <calculatedColumnFormula>IF( S2 = 1, F2*8%, "NOT ELIGIBLE")</calculatedColumnFormula>
    </tableColumn>
    <tableColumn id="4" name="10% INCREMENT" dataDxfId="29">
      <calculatedColumnFormula>F2*10%</calculatedColumnFormula>
    </tableColumn>
    <tableColumn id="5" name="difference from 60000" dataDxfId="28">
      <calculatedColumnFormula>F2-60000</calculatedColumnFormula>
    </tableColumn>
    <tableColumn id="11" name="SALARY &gt;80000" dataDxfId="27">
      <calculatedColumnFormula>IF(Table1[[#This Row],[Salary]] &gt;80000,"TRUE")</calculatedColumnFormula>
    </tableColumn>
    <tableColumn id="12" name="SALARY =75000." dataDxfId="26">
      <calculatedColumnFormula>IF(Table1[[#This Row],[Salary]] =75000, "TRUE"," YES")</calculatedColumnFormula>
    </tableColumn>
    <tableColumn id="13" name="SALARY NOT EQUALS 70000" dataDxfId="25">
      <calculatedColumnFormula>IF(Table1[[#This Row],[Salary]]&lt;&gt;70000,"YES")</calculatedColumnFormula>
    </tableColumn>
    <tableColumn id="6" name="Hire_Date" dataDxfId="24"/>
    <tableColumn id="14" name=" PROJECT &gt;=4" dataDxfId="23">
      <calculatedColumnFormula>IF(Table1[[#This Row],[Projects_Completed]]&gt;=4,"YES","NO")</calculatedColumnFormula>
    </tableColumn>
    <tableColumn id="7" name="Projects_Completed" dataDxfId="22"/>
    <tableColumn id="15" name="TRAINING HOURS &lt;3" dataDxfId="21">
      <calculatedColumnFormula>IF(Table1[[#This Row],[Training_Hours]]&lt;3,"YES","NO")</calculatedColumnFormula>
    </tableColumn>
    <tableColumn id="8" name="Training_Hours" dataDxfId="20"/>
    <tableColumn id="9" name="Attendance_Bonus_Eligible" dataDxfId="19"/>
    <tableColumn id="17" name="NOT ELIGIBLE FOR ATTENDANCE BONUS" dataDxfId="18">
      <calculatedColumnFormula>IF(NOT(Table1[[#This Row],[Attendance_Bonus_Eligible]]=1),"ELIGIBLE","NOT ELIGIBLE")</calculatedColumnFormula>
    </tableColumn>
    <tableColumn id="16" name="SALARY .=75000 &amp;PERFORMANCE MET 1" dataDxfId="17">
      <calculatedColumnFormula>IF(AND(Table1[[#This Row],[Salary]] &gt;=75000,Table1[[#This Row],[Performance_Target_Met]]=1),"ELIGIBLE","NOT ELIGIBLE")</calculatedColumnFormula>
    </tableColumn>
    <tableColumn id="10" name="Performance_Target_Met" dataDxfId="16"/>
    <tableColumn id="18" name="SALARY&gt;=80000 PROJECT &gt;=4" dataDxfId="15">
      <calculatedColumnFormula>IF(OR(Table1[[#This Row],[Salary]]&gt;=80000,Table1[[#This Row],[Projects_Completed]]&gt;=4),"TRUE","NOT TRUE")</calculatedColumnFormula>
    </tableColumn>
    <tableColumn id="19" name="EMPLOYEE NAME &amp;DPMT" dataDxfId="14">
      <calculatedColumnFormula>(Table2[[#This Row],[Employee_Name]] &amp;"-"&amp;  Table2[[#This Row],[Department]])</calculatedColumnFormula>
    </tableColumn>
    <tableColumn id="20" name="IT AND SALARY &gt;70000" dataDxfId="13">
      <calculatedColumnFormula>IF(AND(Table2[[#This Row],[Department]]= "IT", Table1[[#This Row],[Salary]]&gt;70000), "YES")</calculatedColumnFormula>
    </tableColumn>
    <tableColumn id="21" name="FINANCE AND &lt;60000" dataDxfId="12">
      <calculatedColumnFormula>IF(OR(Table2[[#This Row],[Department]]="FINANCE",Table1[[#This Row],[Salary]]&lt;60000), "YES")</calculatedColumnFormula>
    </tableColumn>
    <tableColumn id="22" name="5%INCREASE AND COMPARE IT WITH 80000" dataDxfId="11">
      <calculatedColumnFormula>Table1[[#This Row],[Salary]]+(Table1[[#This Row],[Salary]]*5%)</calculatedColumnFormula>
    </tableColumn>
    <tableColumn id="23" name="PERFORMANCE ALLOWANCE" dataDxfId="10">
      <calculatedColumnFormula>IF(Table1[[#This Row],[Performance_Target_Met]]=1, 2000, 0)</calculatedColumnFormula>
    </tableColumn>
    <tableColumn id="24" name="FINAL ELIGIBILITY" dataDxfId="0">
      <calculatedColumnFormula>IF(AND(Table1[[#This Row],[Salary]]&gt;=75000,OR(Table1[[#This Row],[Attendance_Bonus_Eligible]]=1,Table1[[#This Row],[Performance_Target_Met]]=1)), "eligible","not eligible")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6" totalsRowShown="0" headerRowDxfId="9" dataDxfId="7" headerRowBorderDxfId="8" tableBorderDxfId="6">
  <autoFilter ref="A1:E16"/>
  <tableColumns count="5">
    <tableColumn id="1" name="Employee_ID" dataDxfId="5"/>
    <tableColumn id="2" name="Employee_Name" dataDxfId="4"/>
    <tableColumn id="3" name="Department" dataDxfId="3"/>
    <tableColumn id="4" name="FINANCE OR IT" dataDxfId="2">
      <calculatedColumnFormula>OR(C2="FINANCE", C2="IT")</calculatedColumnFormula>
    </tableColumn>
    <tableColumn id="5" name="Loca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topLeftCell="K1" workbookViewId="0">
      <pane ySplit="1" topLeftCell="A2" activePane="bottomLeft" state="frozen"/>
      <selection pane="bottomLeft" activeCell="AD2" sqref="AD2"/>
    </sheetView>
  </sheetViews>
  <sheetFormatPr defaultRowHeight="15"/>
  <cols>
    <col min="1" max="1" width="14.85546875" customWidth="1"/>
    <col min="2" max="2" width="18.28515625" customWidth="1"/>
    <col min="3" max="3" width="13.85546875" customWidth="1"/>
    <col min="4" max="4" width="16" style="11" customWidth="1"/>
    <col min="5" max="5" width="10.5703125" customWidth="1"/>
    <col min="6" max="6" width="12.7109375" customWidth="1"/>
    <col min="7" max="7" width="14.7109375" style="8" customWidth="1"/>
    <col min="8" max="8" width="14" style="8" customWidth="1"/>
    <col min="9" max="9" width="12.140625" style="8" customWidth="1"/>
    <col min="10" max="10" width="15.28515625" style="8" customWidth="1"/>
    <col min="11" max="11" width="15.140625" style="11" customWidth="1"/>
    <col min="12" max="12" width="8.140625" style="11" customWidth="1"/>
    <col min="13" max="13" width="8.5703125" style="8" customWidth="1"/>
    <col min="14" max="14" width="11.7109375" customWidth="1"/>
    <col min="15" max="15" width="10.28515625" style="11" customWidth="1"/>
    <col min="16" max="16" width="8.5703125" customWidth="1"/>
    <col min="17" max="17" width="8.5703125" style="11" customWidth="1"/>
    <col min="18" max="19" width="6" customWidth="1"/>
    <col min="20" max="20" width="9" style="8" customWidth="1"/>
    <col min="21" max="21" width="13.42578125" style="11" customWidth="1"/>
    <col min="23" max="23" width="9.140625" style="8"/>
    <col min="24" max="24" width="13.7109375" style="8" customWidth="1"/>
    <col min="25" max="25" width="9.140625" style="8"/>
    <col min="26" max="26" width="9.140625" style="6"/>
    <col min="27" max="27" width="9.140625" style="8"/>
  </cols>
  <sheetData>
    <row r="1" spans="1:29" ht="60" customHeight="1">
      <c r="A1" s="5" t="s">
        <v>0</v>
      </c>
      <c r="B1" s="5" t="s">
        <v>1</v>
      </c>
      <c r="C1" s="5" t="s">
        <v>2</v>
      </c>
      <c r="D1" s="12" t="s">
        <v>98</v>
      </c>
      <c r="E1" s="5" t="s">
        <v>3</v>
      </c>
      <c r="F1" s="5" t="s">
        <v>4</v>
      </c>
      <c r="G1" s="9" t="s">
        <v>88</v>
      </c>
      <c r="H1" s="9" t="s">
        <v>89</v>
      </c>
      <c r="I1" s="9" t="s">
        <v>91</v>
      </c>
      <c r="J1" s="9" t="s">
        <v>90</v>
      </c>
      <c r="K1" s="12" t="s">
        <v>92</v>
      </c>
      <c r="L1" s="12" t="s">
        <v>93</v>
      </c>
      <c r="M1" s="12" t="s">
        <v>94</v>
      </c>
      <c r="N1" s="5" t="s">
        <v>5</v>
      </c>
      <c r="O1" s="12" t="s">
        <v>95</v>
      </c>
      <c r="P1" s="5" t="s">
        <v>6</v>
      </c>
      <c r="Q1" s="12" t="s">
        <v>96</v>
      </c>
      <c r="R1" s="5" t="s">
        <v>7</v>
      </c>
      <c r="S1" s="5" t="s">
        <v>8</v>
      </c>
      <c r="T1" s="9" t="s">
        <v>99</v>
      </c>
      <c r="U1" s="12" t="s">
        <v>97</v>
      </c>
      <c r="V1" s="5" t="s">
        <v>9</v>
      </c>
      <c r="W1" s="9" t="s">
        <v>100</v>
      </c>
      <c r="X1" s="9" t="s">
        <v>101</v>
      </c>
      <c r="Y1" s="9" t="s">
        <v>102</v>
      </c>
      <c r="Z1" s="12" t="s">
        <v>103</v>
      </c>
      <c r="AA1" s="21" t="s">
        <v>104</v>
      </c>
      <c r="AB1" s="20" t="s">
        <v>105</v>
      </c>
      <c r="AC1" s="19" t="s">
        <v>106</v>
      </c>
    </row>
    <row r="2" spans="1:29" ht="30">
      <c r="A2" s="2">
        <v>1001</v>
      </c>
      <c r="B2" s="2" t="s">
        <v>10</v>
      </c>
      <c r="C2" s="2" t="s">
        <v>11</v>
      </c>
      <c r="D2" s="16" t="b">
        <f>OR(C2="FINANCE", C2="IT")</f>
        <v>1</v>
      </c>
      <c r="E2" s="2" t="s">
        <v>12</v>
      </c>
      <c r="F2" s="3">
        <v>93000</v>
      </c>
      <c r="G2" s="7">
        <f>F2*12</f>
        <v>1116000</v>
      </c>
      <c r="H2" s="10">
        <f t="shared" ref="H2:H16" si="0">IF( S2 = 1, F2*8%, "NOT ELIGIBLE")</f>
        <v>7440</v>
      </c>
      <c r="I2" s="7">
        <f>F2*10%</f>
        <v>9300</v>
      </c>
      <c r="J2" s="7">
        <f>F2-60000</f>
        <v>33000</v>
      </c>
      <c r="K2" s="10" t="str">
        <f>IF(Table1[[#This Row],[Salary]] &gt;80000,"TRUE")</f>
        <v>TRUE</v>
      </c>
      <c r="L2" s="10" t="str">
        <f>IF(Table1[[#This Row],[Salary]] =75000, "TRUE"," YES")</f>
        <v xml:space="preserve"> YES</v>
      </c>
      <c r="M2" s="10" t="str">
        <f>IF(Table1[[#This Row],[Salary]]&lt;&gt;70000,"YES")</f>
        <v>YES</v>
      </c>
      <c r="N2" s="4">
        <v>42135</v>
      </c>
      <c r="O2" s="13" t="str">
        <f>IF(Table1[[#This Row],[Projects_Completed]]&gt;=4,"YES","NO")</f>
        <v>YES</v>
      </c>
      <c r="P2" s="2">
        <v>5</v>
      </c>
      <c r="Q2" s="14" t="str">
        <f>IF(Table1[[#This Row],[Training_Hours]]&lt;3,"YES","NO")</f>
        <v>YES</v>
      </c>
      <c r="R2" s="2">
        <v>2</v>
      </c>
      <c r="S2" s="2">
        <v>1</v>
      </c>
      <c r="T2" s="15" t="str">
        <f>IF(NOT(Table1[[#This Row],[Attendance_Bonus_Eligible]]=1),"ELIGIBLE","NOT ELIGIBLE")</f>
        <v>NOT ELIGIBLE</v>
      </c>
      <c r="U2" s="14" t="str">
        <f>IF(AND(Table1[[#This Row],[Salary]] &gt;=75000,Table1[[#This Row],[Performance_Target_Met]]=1),"ELIGIBLE","NOT ELIGIBLE")</f>
        <v>NOT ELIGIBLE</v>
      </c>
      <c r="V2" s="2">
        <v>0</v>
      </c>
      <c r="W2" s="15" t="str">
        <f>IF(OR(Table1[[#This Row],[Salary]]&gt;=80000,Table1[[#This Row],[Projects_Completed]]&gt;=4),"TRUE","NOT TRUE")</f>
        <v>TRUE</v>
      </c>
      <c r="X2" s="15" t="str">
        <f>(Table2[[#This Row],[Employee_Name]] &amp;"-"&amp;  Table2[[#This Row],[Department]])</f>
        <v>Ava Rodriguez-Finance</v>
      </c>
      <c r="Y2" s="14" t="b">
        <f>IF(AND(Table2[[#This Row],[Department]]= "IT", Table1[[#This Row],[Salary]]&gt;70000), "YES")</f>
        <v>0</v>
      </c>
      <c r="Z2" s="14" t="str">
        <f>IF(OR(Table2[[#This Row],[Department]]="FINANCE",Table1[[#This Row],[Salary]]&lt;60000), "YES")</f>
        <v>YES</v>
      </c>
      <c r="AA2" s="15">
        <f>Table1[[#This Row],[Salary]]+(Table1[[#This Row],[Salary]]*5%)</f>
        <v>97650</v>
      </c>
      <c r="AB2" s="15">
        <f>IF(Table1[[#This Row],[Performance_Target_Met]]=1, 2000, 0)</f>
        <v>0</v>
      </c>
      <c r="AC2" s="15" t="str">
        <f>IF(AND(Table1[[#This Row],[Salary]]&gt;=75000,OR(Table1[[#This Row],[Attendance_Bonus_Eligible]]=1,Table1[[#This Row],[Performance_Target_Met]]=1)), "eligible","not eligible")</f>
        <v>eligible</v>
      </c>
    </row>
    <row r="3" spans="1:29" ht="30">
      <c r="A3" s="2">
        <v>1002</v>
      </c>
      <c r="B3" s="2" t="s">
        <v>13</v>
      </c>
      <c r="C3" s="2" t="s">
        <v>14</v>
      </c>
      <c r="D3" s="16" t="b">
        <f t="shared" ref="D3:D16" si="1">OR(C3="FINANCE", C3="IT")</f>
        <v>1</v>
      </c>
      <c r="E3" s="2" t="s">
        <v>15</v>
      </c>
      <c r="F3" s="3">
        <v>67000</v>
      </c>
      <c r="G3" s="7">
        <f t="shared" ref="G3:G16" si="2">F3*12</f>
        <v>804000</v>
      </c>
      <c r="H3" s="10" t="str">
        <f t="shared" si="0"/>
        <v>NOT ELIGIBLE</v>
      </c>
      <c r="I3" s="7">
        <f t="shared" ref="I3:I16" si="3">F3*10%</f>
        <v>6700</v>
      </c>
      <c r="J3" s="7">
        <f t="shared" ref="J3:J16" si="4">F3-60000</f>
        <v>7000</v>
      </c>
      <c r="K3" s="10" t="b">
        <f>IF(Table1[[#This Row],[Salary]] &gt;80000,"TRUE")</f>
        <v>0</v>
      </c>
      <c r="L3" s="10" t="str">
        <f>IF(Table1[[#This Row],[Salary]] =75000, "TRUE"," YES")</f>
        <v xml:space="preserve"> YES</v>
      </c>
      <c r="M3" s="10" t="str">
        <f>IF(Table1[[#This Row],[Salary]]&lt;&gt;70000,"YES")</f>
        <v>YES</v>
      </c>
      <c r="N3" s="4">
        <v>43368</v>
      </c>
      <c r="O3" s="13" t="str">
        <f>IF(Table1[[#This Row],[Projects_Completed]]&gt;=4,"YES","NO")</f>
        <v>NO</v>
      </c>
      <c r="P3" s="2">
        <v>3</v>
      </c>
      <c r="Q3" s="14" t="str">
        <f>IF(Table1[[#This Row],[Training_Hours]]&lt;3,"YES","NO")</f>
        <v>YES</v>
      </c>
      <c r="R3" s="2">
        <v>1</v>
      </c>
      <c r="S3" s="2">
        <v>0</v>
      </c>
      <c r="T3" s="15" t="str">
        <f>IF(NOT(Table1[[#This Row],[Attendance_Bonus_Eligible]]=1),"ELIGIBLE","NOT ELIGIBLE")</f>
        <v>ELIGIBLE</v>
      </c>
      <c r="U3" s="14" t="str">
        <f>IF(AND(Table1[[#This Row],[Salary]] &gt;=75000,Table1[[#This Row],[Performance_Target_Met]]=1),"ELIGIBLE","NOT ELIGIBLE")</f>
        <v>NOT ELIGIBLE</v>
      </c>
      <c r="V3" s="2">
        <v>1</v>
      </c>
      <c r="W3" s="15" t="str">
        <f>IF(OR(Table1[[#This Row],[Salary]]&gt;=80000,Table1[[#This Row],[Projects_Completed]]&gt;=4),"TRUE","NOT TRUE")</f>
        <v>NOT TRUE</v>
      </c>
      <c r="X3" s="15" t="str">
        <f>(Table2[[#This Row],[Employee_Name]] &amp;"-"&amp;  Table2[[#This Row],[Department]])</f>
        <v>David Johnson-IT</v>
      </c>
      <c r="Y3" s="14" t="b">
        <f>IF(AND(Table2[[#This Row],[Department]]= "IT", Table1[[#This Row],[Salary]]&gt;70000), "YES")</f>
        <v>0</v>
      </c>
      <c r="Z3" s="14" t="b">
        <f>IF(OR(Table2[[#This Row],[Department]]="FINANCE",Table1[[#This Row],[Salary]]&lt;60000), "YES")</f>
        <v>0</v>
      </c>
      <c r="AA3" s="15">
        <f>Table1[[#This Row],[Salary]]+(Table1[[#This Row],[Salary]]*5%)</f>
        <v>70350</v>
      </c>
      <c r="AB3" s="15">
        <f>IF(Table1[[#This Row],[Performance_Target_Met]]=1, 2000, 0)</f>
        <v>2000</v>
      </c>
      <c r="AC3" s="15" t="str">
        <f>IF(AND(Table1[[#This Row],[Salary]]&gt;=75000,OR(Table1[[#This Row],[Attendance_Bonus_Eligible]]=1,Table1[[#This Row],[Performance_Target_Met]]=1)), "eligible","not eligible")</f>
        <v>not eligible</v>
      </c>
    </row>
    <row r="4" spans="1:29" ht="30">
      <c r="A4" s="2">
        <v>1003</v>
      </c>
      <c r="B4" s="2" t="s">
        <v>16</v>
      </c>
      <c r="C4" s="2" t="s">
        <v>11</v>
      </c>
      <c r="D4" s="16" t="b">
        <f t="shared" si="1"/>
        <v>1</v>
      </c>
      <c r="E4" s="2" t="s">
        <v>12</v>
      </c>
      <c r="F4" s="3">
        <v>85000</v>
      </c>
      <c r="G4" s="7">
        <f t="shared" si="2"/>
        <v>1020000</v>
      </c>
      <c r="H4" s="10">
        <f t="shared" si="0"/>
        <v>6800</v>
      </c>
      <c r="I4" s="7">
        <f t="shared" si="3"/>
        <v>8500</v>
      </c>
      <c r="J4" s="7">
        <f t="shared" si="4"/>
        <v>25000</v>
      </c>
      <c r="K4" s="10" t="str">
        <f>IF(Table1[[#This Row],[Salary]] &gt;80000,"TRUE")</f>
        <v>TRUE</v>
      </c>
      <c r="L4" s="10" t="str">
        <f>IF(Table1[[#This Row],[Salary]] =75000, "TRUE"," YES")</f>
        <v xml:space="preserve"> YES</v>
      </c>
      <c r="M4" s="10" t="str">
        <f>IF(Table1[[#This Row],[Salary]]&lt;&gt;70000,"YES")</f>
        <v>YES</v>
      </c>
      <c r="N4" s="4">
        <v>44365</v>
      </c>
      <c r="O4" s="13" t="str">
        <f>IF(Table1[[#This Row],[Projects_Completed]]&gt;=4,"YES","NO")</f>
        <v>YES</v>
      </c>
      <c r="P4" s="2">
        <v>4</v>
      </c>
      <c r="Q4" s="14" t="str">
        <f>IF(Table1[[#This Row],[Training_Hours]]&lt;3,"YES","NO")</f>
        <v>NO</v>
      </c>
      <c r="R4" s="2">
        <v>3</v>
      </c>
      <c r="S4" s="2">
        <v>1</v>
      </c>
      <c r="T4" s="15" t="str">
        <f>IF(NOT(Table1[[#This Row],[Attendance_Bonus_Eligible]]=1),"ELIGIBLE","NOT ELIGIBLE")</f>
        <v>NOT ELIGIBLE</v>
      </c>
      <c r="U4" s="14" t="str">
        <f>IF(AND(Table1[[#This Row],[Salary]] &gt;=75000,Table1[[#This Row],[Performance_Target_Met]]=1),"ELIGIBLE","NOT ELIGIBLE")</f>
        <v>ELIGIBLE</v>
      </c>
      <c r="V4" s="2">
        <v>1</v>
      </c>
      <c r="W4" s="15" t="str">
        <f>IF(OR(Table1[[#This Row],[Salary]]&gt;=80000,Table1[[#This Row],[Projects_Completed]]&gt;=4),"TRUE","NOT TRUE")</f>
        <v>TRUE</v>
      </c>
      <c r="X4" s="15" t="str">
        <f>(Table2[[#This Row],[Employee_Name]] &amp;"-"&amp;  Table2[[#This Row],[Department]])</f>
        <v>Chris Wilson-Finance</v>
      </c>
      <c r="Y4" s="14" t="b">
        <f>IF(AND(Table2[[#This Row],[Department]]= "IT", Table1[[#This Row],[Salary]]&gt;70000), "YES")</f>
        <v>0</v>
      </c>
      <c r="Z4" s="14" t="str">
        <f>IF(OR(Table2[[#This Row],[Department]]="FINANCE",Table1[[#This Row],[Salary]]&lt;60000), "YES")</f>
        <v>YES</v>
      </c>
      <c r="AA4" s="15">
        <f>Table1[[#This Row],[Salary]]+(Table1[[#This Row],[Salary]]*5%)</f>
        <v>89250</v>
      </c>
      <c r="AB4" s="15">
        <f>IF(Table1[[#This Row],[Performance_Target_Met]]=1, 2000, 0)</f>
        <v>2000</v>
      </c>
      <c r="AC4" s="15" t="str">
        <f>IF(AND(Table1[[#This Row],[Salary]]&gt;=75000,OR(Table1[[#This Row],[Attendance_Bonus_Eligible]]=1,Table1[[#This Row],[Performance_Target_Met]]=1)), "eligible","not eligible")</f>
        <v>eligible</v>
      </c>
    </row>
    <row r="5" spans="1:29" ht="30">
      <c r="A5" s="2">
        <v>1004</v>
      </c>
      <c r="B5" s="2" t="s">
        <v>17</v>
      </c>
      <c r="C5" s="2" t="s">
        <v>14</v>
      </c>
      <c r="D5" s="16" t="b">
        <f t="shared" si="1"/>
        <v>1</v>
      </c>
      <c r="E5" s="2" t="s">
        <v>15</v>
      </c>
      <c r="F5" s="3">
        <v>71000</v>
      </c>
      <c r="G5" s="7">
        <f t="shared" si="2"/>
        <v>852000</v>
      </c>
      <c r="H5" s="10" t="str">
        <f t="shared" si="0"/>
        <v>NOT ELIGIBLE</v>
      </c>
      <c r="I5" s="7">
        <f t="shared" si="3"/>
        <v>7100</v>
      </c>
      <c r="J5" s="7">
        <f t="shared" si="4"/>
        <v>11000</v>
      </c>
      <c r="K5" s="10" t="b">
        <f>IF(Table1[[#This Row],[Salary]] &gt;80000,"TRUE")</f>
        <v>0</v>
      </c>
      <c r="L5" s="10" t="str">
        <f>IF(Table1[[#This Row],[Salary]] =75000, "TRUE"," YES")</f>
        <v xml:space="preserve"> YES</v>
      </c>
      <c r="M5" s="10" t="str">
        <f>IF(Table1[[#This Row],[Salary]]&lt;&gt;70000,"YES")</f>
        <v>YES</v>
      </c>
      <c r="N5" s="4">
        <v>42771</v>
      </c>
      <c r="O5" s="13" t="str">
        <f>IF(Table1[[#This Row],[Projects_Completed]]&gt;=4,"YES","NO")</f>
        <v>NO</v>
      </c>
      <c r="P5" s="2">
        <v>2</v>
      </c>
      <c r="Q5" s="14" t="str">
        <f>IF(Table1[[#This Row],[Training_Hours]]&lt;3,"YES","NO")</f>
        <v>YES</v>
      </c>
      <c r="R5" s="2">
        <v>2</v>
      </c>
      <c r="S5" s="2">
        <v>0</v>
      </c>
      <c r="T5" s="15" t="str">
        <f>IF(NOT(Table1[[#This Row],[Attendance_Bonus_Eligible]]=1),"ELIGIBLE","NOT ELIGIBLE")</f>
        <v>ELIGIBLE</v>
      </c>
      <c r="U5" s="14" t="str">
        <f>IF(AND(Table1[[#This Row],[Salary]] &gt;=75000,Table1[[#This Row],[Performance_Target_Met]]=1),"ELIGIBLE","NOT ELIGIBLE")</f>
        <v>NOT ELIGIBLE</v>
      </c>
      <c r="V5" s="2">
        <v>1</v>
      </c>
      <c r="W5" s="15" t="str">
        <f>IF(OR(Table1[[#This Row],[Salary]]&gt;=80000,Table1[[#This Row],[Projects_Completed]]&gt;=4),"TRUE","NOT TRUE")</f>
        <v>NOT TRUE</v>
      </c>
      <c r="X5" s="15" t="str">
        <f>(Table2[[#This Row],[Employee_Name]] &amp;"-"&amp;  Table2[[#This Row],[Department]])</f>
        <v>Emily Davis-IT</v>
      </c>
      <c r="Y5" s="14" t="str">
        <f>IF(AND(Table2[[#This Row],[Department]]= "IT", Table1[[#This Row],[Salary]]&gt;70000), "YES")</f>
        <v>YES</v>
      </c>
      <c r="Z5" s="14" t="b">
        <f>IF(OR(Table2[[#This Row],[Department]]="FINANCE",Table1[[#This Row],[Salary]]&lt;60000), "YES")</f>
        <v>0</v>
      </c>
      <c r="AA5" s="15">
        <f>Table1[[#This Row],[Salary]]+(Table1[[#This Row],[Salary]]*5%)</f>
        <v>74550</v>
      </c>
      <c r="AB5" s="15">
        <f>IF(Table1[[#This Row],[Performance_Target_Met]]=1, 2000, 0)</f>
        <v>2000</v>
      </c>
      <c r="AC5" s="15" t="str">
        <f>IF(AND(Table1[[#This Row],[Salary]]&gt;=75000,OR(Table1[[#This Row],[Attendance_Bonus_Eligible]]=1,Table1[[#This Row],[Performance_Target_Met]]=1)), "eligible","not eligible")</f>
        <v>not eligible</v>
      </c>
    </row>
    <row r="6" spans="1:29" ht="30">
      <c r="A6" s="2">
        <v>1005</v>
      </c>
      <c r="B6" s="2" t="s">
        <v>18</v>
      </c>
      <c r="C6" s="2" t="s">
        <v>19</v>
      </c>
      <c r="D6" s="16" t="b">
        <f t="shared" si="1"/>
        <v>0</v>
      </c>
      <c r="E6" s="2" t="s">
        <v>20</v>
      </c>
      <c r="F6" s="3">
        <v>58000</v>
      </c>
      <c r="G6" s="7">
        <f t="shared" si="2"/>
        <v>696000</v>
      </c>
      <c r="H6" s="10" t="str">
        <f t="shared" si="0"/>
        <v>NOT ELIGIBLE</v>
      </c>
      <c r="I6" s="7">
        <f t="shared" si="3"/>
        <v>5800</v>
      </c>
      <c r="J6" s="7">
        <f>F6-60000</f>
        <v>-2000</v>
      </c>
      <c r="K6" s="10" t="b">
        <f>IF(Table1[[#This Row],[Salary]] &gt;80000,"TRUE")</f>
        <v>0</v>
      </c>
      <c r="L6" s="10" t="str">
        <f>IF(Table1[[#This Row],[Salary]] =75000, "TRUE"," YES")</f>
        <v xml:space="preserve"> YES</v>
      </c>
      <c r="M6" s="10" t="str">
        <f>IF(Table1[[#This Row],[Salary]]&lt;&gt;70000,"YES")</f>
        <v>YES</v>
      </c>
      <c r="N6" s="4">
        <v>43781</v>
      </c>
      <c r="O6" s="13" t="str">
        <f>IF(Table1[[#This Row],[Projects_Completed]]&gt;=4,"YES","NO")</f>
        <v>NO</v>
      </c>
      <c r="P6" s="2">
        <v>2</v>
      </c>
      <c r="Q6" s="14" t="str">
        <f>IF(Table1[[#This Row],[Training_Hours]]&lt;3,"YES","NO")</f>
        <v>YES</v>
      </c>
      <c r="R6" s="2">
        <v>1</v>
      </c>
      <c r="S6" s="2">
        <v>0</v>
      </c>
      <c r="T6" s="15" t="str">
        <f>IF(NOT(Table1[[#This Row],[Attendance_Bonus_Eligible]]=1),"ELIGIBLE","NOT ELIGIBLE")</f>
        <v>ELIGIBLE</v>
      </c>
      <c r="U6" s="14" t="str">
        <f>IF(AND(Table1[[#This Row],[Salary]] &gt;=75000,Table1[[#This Row],[Performance_Target_Met]]=1),"ELIGIBLE","NOT ELIGIBLE")</f>
        <v>NOT ELIGIBLE</v>
      </c>
      <c r="V6" s="2">
        <v>0</v>
      </c>
      <c r="W6" s="15" t="str">
        <f>IF(OR(Table1[[#This Row],[Salary]]&gt;=80000,Table1[[#This Row],[Projects_Completed]]&gt;=4),"TRUE","NOT TRUE")</f>
        <v>NOT TRUE</v>
      </c>
      <c r="X6" s="15" t="str">
        <f>(Table2[[#This Row],[Employee_Name]] &amp;"-"&amp;  Table2[[#This Row],[Department]])</f>
        <v>Sophia Brown-HR</v>
      </c>
      <c r="Y6" s="14" t="b">
        <f>IF(AND(Table2[[#This Row],[Department]]= "IT", Table1[[#This Row],[Salary]]&gt;70000), "YES")</f>
        <v>0</v>
      </c>
      <c r="Z6" s="14" t="str">
        <f>IF(OR(Table2[[#This Row],[Department]]="FINANCE",Table1[[#This Row],[Salary]]&lt;60000), "YES")</f>
        <v>YES</v>
      </c>
      <c r="AA6" s="15">
        <f>Table1[[#This Row],[Salary]]+(Table1[[#This Row],[Salary]]*5%)</f>
        <v>60900</v>
      </c>
      <c r="AB6" s="15">
        <f>IF(Table1[[#This Row],[Performance_Target_Met]]=1, 2000, 0)</f>
        <v>0</v>
      </c>
      <c r="AC6" s="15" t="str">
        <f>IF(AND(Table1[[#This Row],[Salary]]&gt;=75000,OR(Table1[[#This Row],[Attendance_Bonus_Eligible]]=1,Table1[[#This Row],[Performance_Target_Met]]=1)), "eligible","not eligible")</f>
        <v>not eligible</v>
      </c>
    </row>
    <row r="7" spans="1:29" ht="30">
      <c r="A7" s="2">
        <v>1006</v>
      </c>
      <c r="B7" s="2" t="s">
        <v>21</v>
      </c>
      <c r="C7" s="2" t="s">
        <v>14</v>
      </c>
      <c r="D7" s="16" t="b">
        <f t="shared" si="1"/>
        <v>1</v>
      </c>
      <c r="E7" s="2" t="s">
        <v>15</v>
      </c>
      <c r="F7" s="3">
        <v>88000</v>
      </c>
      <c r="G7" s="7">
        <f t="shared" si="2"/>
        <v>1056000</v>
      </c>
      <c r="H7" s="10">
        <f t="shared" si="0"/>
        <v>7040</v>
      </c>
      <c r="I7" s="7">
        <f t="shared" si="3"/>
        <v>8800</v>
      </c>
      <c r="J7" s="7">
        <f t="shared" si="4"/>
        <v>28000</v>
      </c>
      <c r="K7" s="10" t="str">
        <f>IF(Table1[[#This Row],[Salary]] &gt;80000,"TRUE")</f>
        <v>TRUE</v>
      </c>
      <c r="L7" s="10" t="str">
        <f>IF(Table1[[#This Row],[Salary]] =75000, "TRUE"," YES")</f>
        <v xml:space="preserve"> YES</v>
      </c>
      <c r="M7" s="10" t="str">
        <f>IF(Table1[[#This Row],[Salary]]&lt;&gt;70000,"YES")</f>
        <v>YES</v>
      </c>
      <c r="N7" s="4">
        <v>42571</v>
      </c>
      <c r="O7" s="13" t="str">
        <f>IF(Table1[[#This Row],[Projects_Completed]]&gt;=4,"YES","NO")</f>
        <v>YES</v>
      </c>
      <c r="P7" s="2">
        <v>5</v>
      </c>
      <c r="Q7" s="14" t="str">
        <f>IF(Table1[[#This Row],[Training_Hours]]&lt;3,"YES","NO")</f>
        <v>NO</v>
      </c>
      <c r="R7" s="2">
        <v>4</v>
      </c>
      <c r="S7" s="2">
        <v>1</v>
      </c>
      <c r="T7" s="15" t="str">
        <f>IF(NOT(Table1[[#This Row],[Attendance_Bonus_Eligible]]=1),"ELIGIBLE","NOT ELIGIBLE")</f>
        <v>NOT ELIGIBLE</v>
      </c>
      <c r="U7" s="14" t="str">
        <f>IF(AND(Table1[[#This Row],[Salary]] &gt;=75000,Table1[[#This Row],[Performance_Target_Met]]=1),"ELIGIBLE","NOT ELIGIBLE")</f>
        <v>ELIGIBLE</v>
      </c>
      <c r="V7" s="2">
        <v>1</v>
      </c>
      <c r="W7" s="15" t="str">
        <f>IF(OR(Table1[[#This Row],[Salary]]&gt;=80000,Table1[[#This Row],[Projects_Completed]]&gt;=4),"TRUE","NOT TRUE")</f>
        <v>TRUE</v>
      </c>
      <c r="X7" s="15" t="str">
        <f>(Table2[[#This Row],[Employee_Name]] &amp;"-"&amp;  Table2[[#This Row],[Department]])</f>
        <v>Michael Smith-IT</v>
      </c>
      <c r="Y7" s="14" t="str">
        <f>IF(AND(Table2[[#This Row],[Department]]= "IT", Table1[[#This Row],[Salary]]&gt;70000), "YES")</f>
        <v>YES</v>
      </c>
      <c r="Z7" s="14" t="b">
        <f>IF(OR(Table2[[#This Row],[Department]]="FINANCE",Table1[[#This Row],[Salary]]&lt;60000), "YES")</f>
        <v>0</v>
      </c>
      <c r="AA7" s="15">
        <f>Table1[[#This Row],[Salary]]+(Table1[[#This Row],[Salary]]*5%)</f>
        <v>92400</v>
      </c>
      <c r="AB7" s="15">
        <f>IF(Table1[[#This Row],[Performance_Target_Met]]=1, 2000, 0)</f>
        <v>2000</v>
      </c>
      <c r="AC7" s="15" t="str">
        <f>IF(AND(Table1[[#This Row],[Salary]]&gt;=75000,OR(Table1[[#This Row],[Attendance_Bonus_Eligible]]=1,Table1[[#This Row],[Performance_Target_Met]]=1)), "eligible","not eligible")</f>
        <v>eligible</v>
      </c>
    </row>
    <row r="8" spans="1:29" ht="30">
      <c r="A8" s="2">
        <v>1007</v>
      </c>
      <c r="B8" s="2" t="s">
        <v>22</v>
      </c>
      <c r="C8" s="2" t="s">
        <v>19</v>
      </c>
      <c r="D8" s="16" t="b">
        <f t="shared" si="1"/>
        <v>0</v>
      </c>
      <c r="E8" s="2" t="s">
        <v>20</v>
      </c>
      <c r="F8" s="3">
        <v>62000</v>
      </c>
      <c r="G8" s="7">
        <f t="shared" si="2"/>
        <v>744000</v>
      </c>
      <c r="H8" s="10" t="str">
        <f t="shared" si="0"/>
        <v>NOT ELIGIBLE</v>
      </c>
      <c r="I8" s="7">
        <f t="shared" si="3"/>
        <v>6200</v>
      </c>
      <c r="J8" s="7">
        <f t="shared" si="4"/>
        <v>2000</v>
      </c>
      <c r="K8" s="10" t="b">
        <f>IF(Table1[[#This Row],[Salary]] &gt;80000,"TRUE")</f>
        <v>0</v>
      </c>
      <c r="L8" s="10" t="str">
        <f>IF(Table1[[#This Row],[Salary]] =75000, "TRUE"," YES")</f>
        <v xml:space="preserve"> YES</v>
      </c>
      <c r="M8" s="10" t="str">
        <f>IF(Table1[[#This Row],[Salary]]&lt;&gt;70000,"YES")</f>
        <v>YES</v>
      </c>
      <c r="N8" s="4">
        <v>44635</v>
      </c>
      <c r="O8" s="13" t="str">
        <f>IF(Table1[[#This Row],[Projects_Completed]]&gt;=4,"YES","NO")</f>
        <v>NO</v>
      </c>
      <c r="P8" s="2">
        <v>3</v>
      </c>
      <c r="Q8" s="14" t="str">
        <f>IF(Table1[[#This Row],[Training_Hours]]&lt;3,"YES","NO")</f>
        <v>YES</v>
      </c>
      <c r="R8" s="2">
        <v>2</v>
      </c>
      <c r="S8" s="2">
        <v>0</v>
      </c>
      <c r="T8" s="15" t="str">
        <f>IF(NOT(Table1[[#This Row],[Attendance_Bonus_Eligible]]=1),"ELIGIBLE","NOT ELIGIBLE")</f>
        <v>ELIGIBLE</v>
      </c>
      <c r="U8" s="14" t="str">
        <f>IF(AND(Table1[[#This Row],[Salary]] &gt;=75000,Table1[[#This Row],[Performance_Target_Met]]=1),"ELIGIBLE","NOT ELIGIBLE")</f>
        <v>NOT ELIGIBLE</v>
      </c>
      <c r="V8" s="2">
        <v>1</v>
      </c>
      <c r="W8" s="15" t="str">
        <f>IF(OR(Table1[[#This Row],[Salary]]&gt;=80000,Table1[[#This Row],[Projects_Completed]]&gt;=4),"TRUE","NOT TRUE")</f>
        <v>NOT TRUE</v>
      </c>
      <c r="X8" s="15" t="str">
        <f>(Table2[[#This Row],[Employee_Name]] &amp;"-"&amp;  Table2[[#This Row],[Department]])</f>
        <v>Olivia Taylor-HR</v>
      </c>
      <c r="Y8" s="14" t="b">
        <f>IF(AND(Table2[[#This Row],[Department]]= "IT", Table1[[#This Row],[Salary]]&gt;70000), "YES")</f>
        <v>0</v>
      </c>
      <c r="Z8" s="14" t="b">
        <f>IF(OR(Table2[[#This Row],[Department]]="FINANCE",Table1[[#This Row],[Salary]]&lt;60000), "YES")</f>
        <v>0</v>
      </c>
      <c r="AA8" s="15">
        <f>Table1[[#This Row],[Salary]]+(Table1[[#This Row],[Salary]]*5%)</f>
        <v>65100</v>
      </c>
      <c r="AB8" s="15">
        <f>IF(Table1[[#This Row],[Performance_Target_Met]]=1, 2000, 0)</f>
        <v>2000</v>
      </c>
      <c r="AC8" s="15" t="str">
        <f>IF(AND(Table1[[#This Row],[Salary]]&gt;=75000,OR(Table1[[#This Row],[Attendance_Bonus_Eligible]]=1,Table1[[#This Row],[Performance_Target_Met]]=1)), "eligible","not eligible")</f>
        <v>not eligible</v>
      </c>
    </row>
    <row r="9" spans="1:29" ht="45">
      <c r="A9" s="2">
        <v>1008</v>
      </c>
      <c r="B9" s="2" t="s">
        <v>23</v>
      </c>
      <c r="C9" s="2" t="s">
        <v>24</v>
      </c>
      <c r="D9" s="16" t="b">
        <f t="shared" si="1"/>
        <v>0</v>
      </c>
      <c r="E9" s="2" t="s">
        <v>25</v>
      </c>
      <c r="F9" s="3">
        <v>75000</v>
      </c>
      <c r="G9" s="7">
        <f t="shared" si="2"/>
        <v>900000</v>
      </c>
      <c r="H9" s="10">
        <f t="shared" si="0"/>
        <v>6000</v>
      </c>
      <c r="I9" s="7">
        <f t="shared" si="3"/>
        <v>7500</v>
      </c>
      <c r="J9" s="7">
        <f t="shared" si="4"/>
        <v>15000</v>
      </c>
      <c r="K9" s="10" t="b">
        <f>IF(Table1[[#This Row],[Salary]] &gt;80000,"TRUE")</f>
        <v>0</v>
      </c>
      <c r="L9" s="10" t="str">
        <f>IF(Table1[[#This Row],[Salary]] =75000, "TRUE"," YES")</f>
        <v>TRUE</v>
      </c>
      <c r="M9" s="10" t="str">
        <f>IF(Table1[[#This Row],[Salary]]&lt;&gt;70000,"YES")</f>
        <v>YES</v>
      </c>
      <c r="N9" s="4">
        <v>43840</v>
      </c>
      <c r="O9" s="13" t="str">
        <f>IF(Table1[[#This Row],[Projects_Completed]]&gt;=4,"YES","NO")</f>
        <v>YES</v>
      </c>
      <c r="P9" s="2">
        <v>4</v>
      </c>
      <c r="Q9" s="14" t="str">
        <f>IF(Table1[[#This Row],[Training_Hours]]&lt;3,"YES","NO")</f>
        <v>NO</v>
      </c>
      <c r="R9" s="2">
        <v>3</v>
      </c>
      <c r="S9" s="2">
        <v>1</v>
      </c>
      <c r="T9" s="15" t="str">
        <f>IF(NOT(Table1[[#This Row],[Attendance_Bonus_Eligible]]=1),"ELIGIBLE","NOT ELIGIBLE")</f>
        <v>NOT ELIGIBLE</v>
      </c>
      <c r="U9" s="14" t="str">
        <f>IF(AND(Table1[[#This Row],[Salary]] &gt;=75000,Table1[[#This Row],[Performance_Target_Met]]=1),"ELIGIBLE","NOT ELIGIBLE")</f>
        <v>NOT ELIGIBLE</v>
      </c>
      <c r="V9" s="2">
        <v>0</v>
      </c>
      <c r="W9" s="15" t="str">
        <f>IF(OR(Table1[[#This Row],[Salary]]&gt;=80000,Table1[[#This Row],[Projects_Completed]]&gt;=4),"TRUE","NOT TRUE")</f>
        <v>TRUE</v>
      </c>
      <c r="X9" s="15" t="str">
        <f>(Table2[[#This Row],[Employee_Name]] &amp;"-"&amp;  Table2[[#This Row],[Department]])</f>
        <v>James Anderson-Marketing</v>
      </c>
      <c r="Y9" s="14" t="b">
        <f>IF(AND(Table2[[#This Row],[Department]]= "IT", Table1[[#This Row],[Salary]]&gt;70000), "YES")</f>
        <v>0</v>
      </c>
      <c r="Z9" s="14" t="b">
        <f>IF(OR(Table2[[#This Row],[Department]]="FINANCE",Table1[[#This Row],[Salary]]&lt;60000), "YES")</f>
        <v>0</v>
      </c>
      <c r="AA9" s="15">
        <f>Table1[[#This Row],[Salary]]+(Table1[[#This Row],[Salary]]*5%)</f>
        <v>78750</v>
      </c>
      <c r="AB9" s="15">
        <f>IF(Table1[[#This Row],[Performance_Target_Met]]=1, 2000, 0)</f>
        <v>0</v>
      </c>
      <c r="AC9" s="15" t="str">
        <f>IF(AND(Table1[[#This Row],[Salary]]&gt;=75000,OR(Table1[[#This Row],[Attendance_Bonus_Eligible]]=1,Table1[[#This Row],[Performance_Target_Met]]=1)), "eligible","not eligible")</f>
        <v>eligible</v>
      </c>
    </row>
    <row r="10" spans="1:29" ht="45">
      <c r="A10" s="2">
        <v>1009</v>
      </c>
      <c r="B10" s="2" t="s">
        <v>26</v>
      </c>
      <c r="C10" s="2" t="s">
        <v>11</v>
      </c>
      <c r="D10" s="16" t="b">
        <f t="shared" si="1"/>
        <v>1</v>
      </c>
      <c r="E10" s="2" t="s">
        <v>12</v>
      </c>
      <c r="F10" s="3">
        <v>79000</v>
      </c>
      <c r="G10" s="7">
        <f t="shared" si="2"/>
        <v>948000</v>
      </c>
      <c r="H10" s="10" t="str">
        <f t="shared" si="0"/>
        <v>NOT ELIGIBLE</v>
      </c>
      <c r="I10" s="7">
        <f t="shared" si="3"/>
        <v>7900</v>
      </c>
      <c r="J10" s="7">
        <f t="shared" si="4"/>
        <v>19000</v>
      </c>
      <c r="K10" s="10" t="b">
        <f>IF(Table1[[#This Row],[Salary]] &gt;80000,"TRUE")</f>
        <v>0</v>
      </c>
      <c r="L10" s="10" t="str">
        <f>IF(Table1[[#This Row],[Salary]] =75000, "TRUE"," YES")</f>
        <v xml:space="preserve"> YES</v>
      </c>
      <c r="M10" s="10" t="str">
        <f>IF(Table1[[#This Row],[Salary]]&lt;&gt;70000,"YES")</f>
        <v>YES</v>
      </c>
      <c r="N10" s="4">
        <v>43699</v>
      </c>
      <c r="O10" s="13" t="str">
        <f>IF(Table1[[#This Row],[Projects_Completed]]&gt;=4,"YES","NO")</f>
        <v>NO</v>
      </c>
      <c r="P10" s="2">
        <v>3</v>
      </c>
      <c r="Q10" s="14" t="str">
        <f>IF(Table1[[#This Row],[Training_Hours]]&lt;3,"YES","NO")</f>
        <v>YES</v>
      </c>
      <c r="R10" s="2">
        <v>2</v>
      </c>
      <c r="S10" s="2">
        <v>0</v>
      </c>
      <c r="T10" s="15" t="str">
        <f>IF(NOT(Table1[[#This Row],[Attendance_Bonus_Eligible]]=1),"ELIGIBLE","NOT ELIGIBLE")</f>
        <v>ELIGIBLE</v>
      </c>
      <c r="U10" s="14" t="str">
        <f>IF(AND(Table1[[#This Row],[Salary]] &gt;=75000,Table1[[#This Row],[Performance_Target_Met]]=1),"ELIGIBLE","NOT ELIGIBLE")</f>
        <v>ELIGIBLE</v>
      </c>
      <c r="V10" s="2">
        <v>1</v>
      </c>
      <c r="W10" s="15" t="str">
        <f>IF(OR(Table1[[#This Row],[Salary]]&gt;=80000,Table1[[#This Row],[Projects_Completed]]&gt;=4),"TRUE","NOT TRUE")</f>
        <v>NOT TRUE</v>
      </c>
      <c r="X10" s="15" t="str">
        <f>(Table2[[#This Row],[Employee_Name]] &amp;"-"&amp;  Table2[[#This Row],[Department]])</f>
        <v>Emma Thomas-Finance</v>
      </c>
      <c r="Y10" s="14" t="b">
        <f>IF(AND(Table2[[#This Row],[Department]]= "IT", Table1[[#This Row],[Salary]]&gt;70000), "YES")</f>
        <v>0</v>
      </c>
      <c r="Z10" s="14" t="str">
        <f>IF(OR(Table2[[#This Row],[Department]]="FINANCE",Table1[[#This Row],[Salary]]&lt;60000), "YES")</f>
        <v>YES</v>
      </c>
      <c r="AA10" s="15">
        <f>Table1[[#This Row],[Salary]]+(Table1[[#This Row],[Salary]]*5%)</f>
        <v>82950</v>
      </c>
      <c r="AB10" s="15">
        <f>IF(Table1[[#This Row],[Performance_Target_Met]]=1, 2000, 0)</f>
        <v>2000</v>
      </c>
      <c r="AC10" s="15" t="str">
        <f>IF(AND(Table1[[#This Row],[Salary]]&gt;=75000,OR(Table1[[#This Row],[Attendance_Bonus_Eligible]]=1,Table1[[#This Row],[Performance_Target_Met]]=1)), "eligible","not eligible")</f>
        <v>eligible</v>
      </c>
    </row>
    <row r="11" spans="1:29" ht="30">
      <c r="A11" s="2">
        <v>1010</v>
      </c>
      <c r="B11" s="2" t="s">
        <v>27</v>
      </c>
      <c r="C11" s="2" t="s">
        <v>24</v>
      </c>
      <c r="D11" s="16" t="b">
        <f t="shared" si="1"/>
        <v>0</v>
      </c>
      <c r="E11" s="2" t="s">
        <v>25</v>
      </c>
      <c r="F11" s="3">
        <v>69000</v>
      </c>
      <c r="G11" s="7">
        <f t="shared" si="2"/>
        <v>828000</v>
      </c>
      <c r="H11" s="10" t="str">
        <f t="shared" si="0"/>
        <v>NOT ELIGIBLE</v>
      </c>
      <c r="I11" s="7">
        <f t="shared" si="3"/>
        <v>6900</v>
      </c>
      <c r="J11" s="7">
        <f t="shared" si="4"/>
        <v>9000</v>
      </c>
      <c r="K11" s="10" t="b">
        <f>IF(Table1[[#This Row],[Salary]] &gt;80000,"TRUE")</f>
        <v>0</v>
      </c>
      <c r="L11" s="10" t="str">
        <f>IF(Table1[[#This Row],[Salary]] =75000, "TRUE"," YES")</f>
        <v xml:space="preserve"> YES</v>
      </c>
      <c r="M11" s="10" t="str">
        <f>IF(Table1[[#This Row],[Salary]]&lt;&gt;70000,"YES")</f>
        <v>YES</v>
      </c>
      <c r="N11" s="4">
        <v>43437</v>
      </c>
      <c r="O11" s="13" t="str">
        <f>IF(Table1[[#This Row],[Projects_Completed]]&gt;=4,"YES","NO")</f>
        <v>NO</v>
      </c>
      <c r="P11" s="2">
        <v>2</v>
      </c>
      <c r="Q11" s="14" t="str">
        <f>IF(Table1[[#This Row],[Training_Hours]]&lt;3,"YES","NO")</f>
        <v>YES</v>
      </c>
      <c r="R11" s="2">
        <v>1</v>
      </c>
      <c r="S11" s="2">
        <v>0</v>
      </c>
      <c r="T11" s="15" t="str">
        <f>IF(NOT(Table1[[#This Row],[Attendance_Bonus_Eligible]]=1),"ELIGIBLE","NOT ELIGIBLE")</f>
        <v>ELIGIBLE</v>
      </c>
      <c r="U11" s="14" t="str">
        <f>IF(AND(Table1[[#This Row],[Salary]] &gt;=75000,Table1[[#This Row],[Performance_Target_Met]]=1),"ELIGIBLE","NOT ELIGIBLE")</f>
        <v>NOT ELIGIBLE</v>
      </c>
      <c r="V11" s="2">
        <v>0</v>
      </c>
      <c r="W11" s="15" t="str">
        <f>IF(OR(Table1[[#This Row],[Salary]]&gt;=80000,Table1[[#This Row],[Projects_Completed]]&gt;=4),"TRUE","NOT TRUE")</f>
        <v>NOT TRUE</v>
      </c>
      <c r="X11" s="15" t="str">
        <f>(Table2[[#This Row],[Employee_Name]] &amp;"-"&amp;  Table2[[#This Row],[Department]])</f>
        <v>Daniel White-Marketing</v>
      </c>
      <c r="Y11" s="14" t="b">
        <f>IF(AND(Table2[[#This Row],[Department]]= "IT", Table1[[#This Row],[Salary]]&gt;70000), "YES")</f>
        <v>0</v>
      </c>
      <c r="Z11" s="14" t="b">
        <f>IF(OR(Table2[[#This Row],[Department]]="FINANCE",Table1[[#This Row],[Salary]]&lt;60000), "YES")</f>
        <v>0</v>
      </c>
      <c r="AA11" s="15">
        <f>Table1[[#This Row],[Salary]]+(Table1[[#This Row],[Salary]]*5%)</f>
        <v>72450</v>
      </c>
      <c r="AB11" s="15">
        <f>IF(Table1[[#This Row],[Performance_Target_Met]]=1, 2000, 0)</f>
        <v>0</v>
      </c>
      <c r="AC11" s="15" t="str">
        <f>IF(AND(Table1[[#This Row],[Salary]]&gt;=75000,OR(Table1[[#This Row],[Attendance_Bonus_Eligible]]=1,Table1[[#This Row],[Performance_Target_Met]]=1)), "eligible","not eligible")</f>
        <v>not eligible</v>
      </c>
    </row>
    <row r="12" spans="1:29" ht="30">
      <c r="A12" s="2">
        <v>1011</v>
      </c>
      <c r="B12" s="2" t="s">
        <v>28</v>
      </c>
      <c r="C12" s="2" t="s">
        <v>14</v>
      </c>
      <c r="D12" s="16" t="b">
        <f t="shared" si="1"/>
        <v>1</v>
      </c>
      <c r="E12" s="2" t="s">
        <v>15</v>
      </c>
      <c r="F12" s="3">
        <v>95000</v>
      </c>
      <c r="G12" s="7">
        <f t="shared" si="2"/>
        <v>1140000</v>
      </c>
      <c r="H12" s="10">
        <f t="shared" si="0"/>
        <v>7600</v>
      </c>
      <c r="I12" s="7">
        <f t="shared" si="3"/>
        <v>9500</v>
      </c>
      <c r="J12" s="7">
        <f t="shared" si="4"/>
        <v>35000</v>
      </c>
      <c r="K12" s="10" t="str">
        <f>IF(Table1[[#This Row],[Salary]] &gt;80000,"TRUE")</f>
        <v>TRUE</v>
      </c>
      <c r="L12" s="10" t="str">
        <f>IF(Table1[[#This Row],[Salary]] =75000, "TRUE"," YES")</f>
        <v xml:space="preserve"> YES</v>
      </c>
      <c r="M12" s="10" t="str">
        <f>IF(Table1[[#This Row],[Salary]]&lt;&gt;70000,"YES")</f>
        <v>YES</v>
      </c>
      <c r="N12" s="4">
        <v>41746</v>
      </c>
      <c r="O12" s="13" t="str">
        <f>IF(Table1[[#This Row],[Projects_Completed]]&gt;=4,"YES","NO")</f>
        <v>YES</v>
      </c>
      <c r="P12" s="2">
        <v>5</v>
      </c>
      <c r="Q12" s="14" t="str">
        <f>IF(Table1[[#This Row],[Training_Hours]]&lt;3,"YES","NO")</f>
        <v>NO</v>
      </c>
      <c r="R12" s="2">
        <v>5</v>
      </c>
      <c r="S12" s="2">
        <v>1</v>
      </c>
      <c r="T12" s="15" t="str">
        <f>IF(NOT(Table1[[#This Row],[Attendance_Bonus_Eligible]]=1),"ELIGIBLE","NOT ELIGIBLE")</f>
        <v>NOT ELIGIBLE</v>
      </c>
      <c r="U12" s="14" t="str">
        <f>IF(AND(Table1[[#This Row],[Salary]] &gt;=75000,Table1[[#This Row],[Performance_Target_Met]]=1),"ELIGIBLE","NOT ELIGIBLE")</f>
        <v>ELIGIBLE</v>
      </c>
      <c r="V12" s="2">
        <v>1</v>
      </c>
      <c r="W12" s="15" t="str">
        <f>IF(OR(Table1[[#This Row],[Salary]]&gt;=80000,Table1[[#This Row],[Projects_Completed]]&gt;=4),"TRUE","NOT TRUE")</f>
        <v>TRUE</v>
      </c>
      <c r="X12" s="15" t="str">
        <f>(Table2[[#This Row],[Employee_Name]] &amp;"-"&amp;  Table2[[#This Row],[Department]])</f>
        <v>Mia Martin-IT</v>
      </c>
      <c r="Y12" s="14" t="str">
        <f>IF(AND(Table2[[#This Row],[Department]]= "IT", Table1[[#This Row],[Salary]]&gt;70000), "YES")</f>
        <v>YES</v>
      </c>
      <c r="Z12" s="14" t="b">
        <f>IF(OR(Table2[[#This Row],[Department]]="FINANCE",Table1[[#This Row],[Salary]]&lt;60000), "YES")</f>
        <v>0</v>
      </c>
      <c r="AA12" s="15">
        <f>Table1[[#This Row],[Salary]]+(Table1[[#This Row],[Salary]]*5%)</f>
        <v>99750</v>
      </c>
      <c r="AB12" s="15">
        <f>IF(Table1[[#This Row],[Performance_Target_Met]]=1, 2000, 0)</f>
        <v>2000</v>
      </c>
      <c r="AC12" s="15" t="str">
        <f>IF(AND(Table1[[#This Row],[Salary]]&gt;=75000,OR(Table1[[#This Row],[Attendance_Bonus_Eligible]]=1,Table1[[#This Row],[Performance_Target_Met]]=1)), "eligible","not eligible")</f>
        <v>eligible</v>
      </c>
    </row>
    <row r="13" spans="1:29" ht="30">
      <c r="A13" s="2">
        <v>1012</v>
      </c>
      <c r="B13" s="2" t="s">
        <v>29</v>
      </c>
      <c r="C13" s="2" t="s">
        <v>19</v>
      </c>
      <c r="D13" s="16" t="b">
        <f t="shared" si="1"/>
        <v>0</v>
      </c>
      <c r="E13" s="2" t="s">
        <v>20</v>
      </c>
      <c r="F13" s="3">
        <v>54000</v>
      </c>
      <c r="G13" s="7">
        <f t="shared" si="2"/>
        <v>648000</v>
      </c>
      <c r="H13" s="10" t="str">
        <f t="shared" si="0"/>
        <v>NOT ELIGIBLE</v>
      </c>
      <c r="I13" s="7">
        <f t="shared" si="3"/>
        <v>5400</v>
      </c>
      <c r="J13" s="7">
        <f t="shared" si="4"/>
        <v>-6000</v>
      </c>
      <c r="K13" s="10" t="b">
        <f>IF(Table1[[#This Row],[Salary]] &gt;80000,"TRUE")</f>
        <v>0</v>
      </c>
      <c r="L13" s="10" t="str">
        <f>IF(Table1[[#This Row],[Salary]] =75000, "TRUE"," YES")</f>
        <v xml:space="preserve"> YES</v>
      </c>
      <c r="M13" s="10" t="str">
        <f>IF(Table1[[#This Row],[Salary]]&lt;&gt;70000,"YES")</f>
        <v>YES</v>
      </c>
      <c r="N13" s="4">
        <v>45078</v>
      </c>
      <c r="O13" s="13" t="str">
        <f>IF(Table1[[#This Row],[Projects_Completed]]&gt;=4,"YES","NO")</f>
        <v>NO</v>
      </c>
      <c r="P13" s="2">
        <v>1</v>
      </c>
      <c r="Q13" s="14" t="str">
        <f>IF(Table1[[#This Row],[Training_Hours]]&lt;3,"YES","NO")</f>
        <v>YES</v>
      </c>
      <c r="R13" s="2">
        <v>1</v>
      </c>
      <c r="S13" s="2">
        <v>0</v>
      </c>
      <c r="T13" s="15" t="str">
        <f>IF(NOT(Table1[[#This Row],[Attendance_Bonus_Eligible]]=1),"ELIGIBLE","NOT ELIGIBLE")</f>
        <v>ELIGIBLE</v>
      </c>
      <c r="U13" s="14" t="str">
        <f>IF(AND(Table1[[#This Row],[Salary]] &gt;=75000,Table1[[#This Row],[Performance_Target_Met]]=1),"ELIGIBLE","NOT ELIGIBLE")</f>
        <v>NOT ELIGIBLE</v>
      </c>
      <c r="V13" s="2">
        <v>0</v>
      </c>
      <c r="W13" s="15" t="str">
        <f>IF(OR(Table1[[#This Row],[Salary]]&gt;=80000,Table1[[#This Row],[Projects_Completed]]&gt;=4),"TRUE","NOT TRUE")</f>
        <v>NOT TRUE</v>
      </c>
      <c r="X13" s="15" t="str">
        <f>(Table2[[#This Row],[Employee_Name]] &amp;"-"&amp;  Table2[[#This Row],[Department]])</f>
        <v>Noah Clark-HR</v>
      </c>
      <c r="Y13" s="14" t="b">
        <f>IF(AND(Table2[[#This Row],[Department]]= "IT", Table1[[#This Row],[Salary]]&gt;70000), "YES")</f>
        <v>0</v>
      </c>
      <c r="Z13" s="14" t="str">
        <f>IF(OR(Table2[[#This Row],[Department]]="FINANCE",Table1[[#This Row],[Salary]]&lt;60000), "YES")</f>
        <v>YES</v>
      </c>
      <c r="AA13" s="15">
        <f>Table1[[#This Row],[Salary]]+(Table1[[#This Row],[Salary]]*5%)</f>
        <v>56700</v>
      </c>
      <c r="AB13" s="15">
        <f>IF(Table1[[#This Row],[Performance_Target_Met]]=1, 2000, 0)</f>
        <v>0</v>
      </c>
      <c r="AC13" s="15" t="str">
        <f>IF(AND(Table1[[#This Row],[Salary]]&gt;=75000,OR(Table1[[#This Row],[Attendance_Bonus_Eligible]]=1,Table1[[#This Row],[Performance_Target_Met]]=1)), "eligible","not eligible")</f>
        <v>not eligible</v>
      </c>
    </row>
    <row r="14" spans="1:29" ht="30">
      <c r="A14" s="2">
        <v>1013</v>
      </c>
      <c r="B14" s="2" t="s">
        <v>30</v>
      </c>
      <c r="C14" s="2" t="s">
        <v>31</v>
      </c>
      <c r="D14" s="16" t="b">
        <f>OR(C14="FINANCE", C14="IT")</f>
        <v>0</v>
      </c>
      <c r="E14" s="2" t="s">
        <v>32</v>
      </c>
      <c r="F14" s="3">
        <v>72000</v>
      </c>
      <c r="G14" s="7">
        <f t="shared" si="2"/>
        <v>864000</v>
      </c>
      <c r="H14" s="10">
        <f t="shared" si="0"/>
        <v>5760</v>
      </c>
      <c r="I14" s="7">
        <f t="shared" si="3"/>
        <v>7200</v>
      </c>
      <c r="J14" s="7">
        <f t="shared" si="4"/>
        <v>12000</v>
      </c>
      <c r="K14" s="10" t="b">
        <f>IF(Table1[[#This Row],[Salary]] &gt;80000,"TRUE")</f>
        <v>0</v>
      </c>
      <c r="L14" s="10" t="str">
        <f>IF(Table1[[#This Row],[Salary]] =75000, "TRUE"," YES")</f>
        <v xml:space="preserve"> YES</v>
      </c>
      <c r="M14" s="10" t="str">
        <f>IF(Table1[[#This Row],[Salary]]&lt;&gt;70000,"YES")</f>
        <v>YES</v>
      </c>
      <c r="N14" s="4">
        <v>44088</v>
      </c>
      <c r="O14" s="13" t="str">
        <f>IF(Table1[[#This Row],[Projects_Completed]]&gt;=4,"YES","NO")</f>
        <v>YES</v>
      </c>
      <c r="P14" s="2">
        <v>4</v>
      </c>
      <c r="Q14" s="14" t="str">
        <f>IF(Table1[[#This Row],[Training_Hours]]&lt;3,"YES","NO")</f>
        <v>YES</v>
      </c>
      <c r="R14" s="2">
        <v>2</v>
      </c>
      <c r="S14" s="2">
        <v>1</v>
      </c>
      <c r="T14" s="15" t="str">
        <f>IF(NOT(Table1[[#This Row],[Attendance_Bonus_Eligible]]=1),"ELIGIBLE","NOT ELIGIBLE")</f>
        <v>NOT ELIGIBLE</v>
      </c>
      <c r="U14" s="14" t="str">
        <f>IF(AND(Table1[[#This Row],[Salary]] &gt;=75000,Table1[[#This Row],[Performance_Target_Met]]=1),"ELIGIBLE","NOT ELIGIBLE")</f>
        <v>NOT ELIGIBLE</v>
      </c>
      <c r="V14" s="2">
        <v>1</v>
      </c>
      <c r="W14" s="15" t="str">
        <f>IF(OR(Table1[[#This Row],[Salary]]&gt;=80000,Table1[[#This Row],[Projects_Completed]]&gt;=4),"TRUE","NOT TRUE")</f>
        <v>TRUE</v>
      </c>
      <c r="X14" s="15" t="str">
        <f>(Table2[[#This Row],[Employee_Name]] &amp;"-"&amp;  Table2[[#This Row],[Department]])</f>
        <v>Isabella Lewis-Sales</v>
      </c>
      <c r="Y14" s="14" t="b">
        <f>IF(AND(Table2[[#This Row],[Department]]= "IT", Table1[[#This Row],[Salary]]&gt;70000), "YES")</f>
        <v>0</v>
      </c>
      <c r="Z14" s="14" t="b">
        <f>IF(OR(Table2[[#This Row],[Department]]="FINANCE",Table1[[#This Row],[Salary]]&lt;60000), "YES")</f>
        <v>0</v>
      </c>
      <c r="AA14" s="15">
        <f>Table1[[#This Row],[Salary]]+(Table1[[#This Row],[Salary]]*5%)</f>
        <v>75600</v>
      </c>
      <c r="AB14" s="15">
        <f>IF(Table1[[#This Row],[Performance_Target_Met]]=1, 2000, 0)</f>
        <v>2000</v>
      </c>
      <c r="AC14" s="15" t="str">
        <f>IF(AND(Table1[[#This Row],[Salary]]&gt;=75000,OR(Table1[[#This Row],[Attendance_Bonus_Eligible]]=1,Table1[[#This Row],[Performance_Target_Met]]=1)), "eligible","not eligible")</f>
        <v>not eligible</v>
      </c>
    </row>
    <row r="15" spans="1:29" ht="30">
      <c r="A15" s="2">
        <v>1014</v>
      </c>
      <c r="B15" s="2" t="s">
        <v>33</v>
      </c>
      <c r="C15" s="2" t="s">
        <v>31</v>
      </c>
      <c r="D15" s="16" t="b">
        <f t="shared" si="1"/>
        <v>0</v>
      </c>
      <c r="E15" s="2" t="s">
        <v>32</v>
      </c>
      <c r="F15" s="3">
        <v>81000</v>
      </c>
      <c r="G15" s="7">
        <f t="shared" si="2"/>
        <v>972000</v>
      </c>
      <c r="H15" s="10" t="str">
        <f t="shared" si="0"/>
        <v>NOT ELIGIBLE</v>
      </c>
      <c r="I15" s="7">
        <f t="shared" si="3"/>
        <v>8100</v>
      </c>
      <c r="J15" s="7">
        <f t="shared" si="4"/>
        <v>21000</v>
      </c>
      <c r="K15" s="10" t="str">
        <f>IF(Table1[[#This Row],[Salary]] &gt;80000,"TRUE")</f>
        <v>TRUE</v>
      </c>
      <c r="L15" s="10" t="str">
        <f>IF(Table1[[#This Row],[Salary]] =75000, "TRUE"," YES")</f>
        <v xml:space="preserve"> YES</v>
      </c>
      <c r="M15" s="10" t="str">
        <f>IF(Table1[[#This Row],[Salary]]&lt;&gt;70000,"YES")</f>
        <v>YES</v>
      </c>
      <c r="N15" s="4">
        <v>43038</v>
      </c>
      <c r="O15" s="13" t="str">
        <f>IF(Table1[[#This Row],[Projects_Completed]]&gt;=4,"YES","NO")</f>
        <v>NO</v>
      </c>
      <c r="P15" s="2">
        <v>3</v>
      </c>
      <c r="Q15" s="14" t="str">
        <f>IF(Table1[[#This Row],[Training_Hours]]&lt;3,"YES","NO")</f>
        <v>NO</v>
      </c>
      <c r="R15" s="2">
        <v>3</v>
      </c>
      <c r="S15" s="2">
        <v>0</v>
      </c>
      <c r="T15" s="15" t="str">
        <f>IF(NOT(Table1[[#This Row],[Attendance_Bonus_Eligible]]=1),"ELIGIBLE","NOT ELIGIBLE")</f>
        <v>ELIGIBLE</v>
      </c>
      <c r="U15" s="14" t="str">
        <f>IF(AND(Table1[[#This Row],[Salary]] &gt;=75000,Table1[[#This Row],[Performance_Target_Met]]=1),"ELIGIBLE","NOT ELIGIBLE")</f>
        <v>ELIGIBLE</v>
      </c>
      <c r="V15" s="2">
        <v>1</v>
      </c>
      <c r="W15" s="15" t="str">
        <f>IF(OR(Table1[[#This Row],[Salary]]&gt;=80000,Table1[[#This Row],[Projects_Completed]]&gt;=4),"TRUE","NOT TRUE")</f>
        <v>TRUE</v>
      </c>
      <c r="X15" s="15" t="str">
        <f>(Table2[[#This Row],[Employee_Name]] &amp;"-"&amp;  Table2[[#This Row],[Department]])</f>
        <v>Ethan Walker-Sales</v>
      </c>
      <c r="Y15" s="14" t="b">
        <f>IF(AND(Table2[[#This Row],[Department]]= "IT", Table1[[#This Row],[Salary]]&gt;70000), "YES")</f>
        <v>0</v>
      </c>
      <c r="Z15" s="14" t="b">
        <f>IF(OR(Table2[[#This Row],[Department]]="FINANCE",Table1[[#This Row],[Salary]]&lt;60000), "YES")</f>
        <v>0</v>
      </c>
      <c r="AA15" s="15">
        <f>Table1[[#This Row],[Salary]]+(Table1[[#This Row],[Salary]]*5%)</f>
        <v>85050</v>
      </c>
      <c r="AB15" s="15">
        <f>IF(Table1[[#This Row],[Performance_Target_Met]]=1, 2000, 0)</f>
        <v>2000</v>
      </c>
      <c r="AC15" s="15" t="str">
        <f>IF(AND(Table1[[#This Row],[Salary]]&gt;=75000,OR(Table1[[#This Row],[Attendance_Bonus_Eligible]]=1,Table1[[#This Row],[Performance_Target_Met]]=1)), "eligible","not eligible")</f>
        <v>eligible</v>
      </c>
    </row>
    <row r="16" spans="1:29" ht="30">
      <c r="A16" s="2">
        <v>1015</v>
      </c>
      <c r="B16" s="2" t="s">
        <v>34</v>
      </c>
      <c r="C16" s="2" t="s">
        <v>11</v>
      </c>
      <c r="D16" s="16" t="b">
        <f t="shared" si="1"/>
        <v>1</v>
      </c>
      <c r="E16" s="2" t="s">
        <v>12</v>
      </c>
      <c r="F16" s="3">
        <v>66000</v>
      </c>
      <c r="G16" s="7">
        <f t="shared" si="2"/>
        <v>792000</v>
      </c>
      <c r="H16" s="10">
        <f t="shared" si="0"/>
        <v>5280</v>
      </c>
      <c r="I16" s="7">
        <f t="shared" si="3"/>
        <v>6600</v>
      </c>
      <c r="J16" s="7">
        <f t="shared" si="4"/>
        <v>6000</v>
      </c>
      <c r="K16" s="10" t="b">
        <f>IF(Table1[[#This Row],[Salary]] &gt;80000,"TRUE")</f>
        <v>0</v>
      </c>
      <c r="L16" s="10" t="str">
        <f>IF(Table1[[#This Row],[Salary]] =75000, "TRUE"," YES")</f>
        <v xml:space="preserve"> YES</v>
      </c>
      <c r="M16" s="10" t="str">
        <f>IF(Table1[[#This Row],[Salary]]&lt;&gt;70000,"YES")</f>
        <v>YES</v>
      </c>
      <c r="N16" s="4">
        <v>44585</v>
      </c>
      <c r="O16" s="13" t="str">
        <f>IF(Table1[[#This Row],[Projects_Completed]]&gt;=4,"YES","NO")</f>
        <v>NO</v>
      </c>
      <c r="P16" s="2">
        <v>2</v>
      </c>
      <c r="Q16" s="14" t="str">
        <f>IF(Table1[[#This Row],[Training_Hours]]&lt;3,"YES","NO")</f>
        <v>YES</v>
      </c>
      <c r="R16" s="2">
        <v>2</v>
      </c>
      <c r="S16" s="2">
        <v>1</v>
      </c>
      <c r="T16" s="15" t="str">
        <f>IF(NOT(Table1[[#This Row],[Attendance_Bonus_Eligible]]=1),"ELIGIBLE","NOT ELIGIBLE")</f>
        <v>NOT ELIGIBLE</v>
      </c>
      <c r="U16" s="14" t="str">
        <f>IF(AND(Table1[[#This Row],[Salary]] &gt;=75000,Table1[[#This Row],[Performance_Target_Met]]=1),"ELIGIBLE","NOT ELIGIBLE")</f>
        <v>NOT ELIGIBLE</v>
      </c>
      <c r="V16" s="2">
        <v>0</v>
      </c>
      <c r="W16" s="15" t="str">
        <f>IF(OR(Table1[[#This Row],[Salary]]&gt;=80000,Table1[[#This Row],[Projects_Completed]]&gt;=4),"TRUE","NOT TRUE")</f>
        <v>NOT TRUE</v>
      </c>
      <c r="X16" s="15" t="str">
        <f>(Table2[[#This Row],[Employee_Name]] &amp;"-"&amp;  Table2[[#This Row],[Department]])</f>
        <v>Amelia Hall-Finance</v>
      </c>
      <c r="Y16" s="14" t="b">
        <f>IF(AND(Table2[[#This Row],[Department]]= "IT", Table1[[#This Row],[Salary]]&gt;70000), "YES")</f>
        <v>0</v>
      </c>
      <c r="Z16" s="14" t="str">
        <f>IF(OR(Table2[[#This Row],[Department]]="FINANCE",Table1[[#This Row],[Salary]]&lt;60000), "YES")</f>
        <v>YES</v>
      </c>
      <c r="AA16" s="15">
        <f>Table1[[#This Row],[Salary]]+(Table1[[#This Row],[Salary]]*5%)</f>
        <v>69300</v>
      </c>
      <c r="AB16" s="15">
        <f>IF(Table1[[#This Row],[Performance_Target_Met]]=1, 2000, 0)</f>
        <v>0</v>
      </c>
      <c r="AC16" s="15" t="str">
        <f>IF(AND(Table1[[#This Row],[Salary]]&gt;=75000,OR(Table1[[#This Row],[Attendance_Bonus_Eligible]]=1,Table1[[#This Row],[Performance_Target_Met]]=1)), "eligible","not eligible")</f>
        <v>not eligible</v>
      </c>
    </row>
    <row r="17" spans="1:22">
      <c r="A17" s="17"/>
      <c r="B17" s="17"/>
      <c r="C17" s="17"/>
      <c r="D17" s="18"/>
      <c r="E17" s="17"/>
      <c r="F17" s="17"/>
      <c r="G17" s="17"/>
      <c r="H17" s="17"/>
      <c r="I17" s="17"/>
      <c r="J17" s="17"/>
      <c r="K17" s="18"/>
      <c r="L17" s="18"/>
      <c r="M17" s="17"/>
      <c r="N17" s="17"/>
      <c r="O17" s="18"/>
      <c r="P17" s="17"/>
      <c r="Q17" s="18"/>
      <c r="R17" s="17"/>
      <c r="S17" s="17"/>
      <c r="T17" s="17"/>
      <c r="U17" s="18"/>
      <c r="V17" s="17"/>
    </row>
    <row r="18" spans="1:22">
      <c r="A18" s="17"/>
      <c r="B18" s="17"/>
      <c r="C18" s="17"/>
      <c r="D18" s="18"/>
      <c r="E18" s="17"/>
      <c r="F18" s="17"/>
      <c r="G18" s="17"/>
      <c r="H18" s="17"/>
      <c r="I18" s="17"/>
      <c r="J18" s="17"/>
      <c r="K18" s="18"/>
      <c r="L18" s="18"/>
      <c r="M18" s="17"/>
      <c r="N18" s="17"/>
      <c r="O18" s="18"/>
      <c r="P18" s="17"/>
      <c r="Q18" s="18"/>
      <c r="R18" s="17"/>
      <c r="S18" s="17"/>
      <c r="T18" s="17"/>
      <c r="U18" s="18"/>
      <c r="V18" s="17"/>
    </row>
    <row r="19" spans="1:22">
      <c r="A19" s="17"/>
      <c r="B19" s="17"/>
      <c r="C19" s="17"/>
      <c r="D19" s="18"/>
      <c r="E19" s="17"/>
      <c r="F19" s="17"/>
      <c r="G19" s="17"/>
      <c r="H19" s="17"/>
      <c r="I19" s="17"/>
      <c r="J19" s="17"/>
      <c r="K19" s="18"/>
      <c r="L19" s="18"/>
      <c r="M19" s="17"/>
      <c r="N19" s="17"/>
      <c r="O19" s="18"/>
      <c r="P19" s="17"/>
      <c r="Q19" s="18"/>
      <c r="R19" s="17"/>
      <c r="S19" s="17"/>
      <c r="T19" s="17"/>
      <c r="U19" s="18"/>
      <c r="V19" s="17"/>
    </row>
    <row r="20" spans="1:22">
      <c r="A20" s="17"/>
      <c r="B20" s="17"/>
      <c r="C20" s="17"/>
      <c r="D20" s="18"/>
      <c r="E20" s="17"/>
      <c r="F20" s="17"/>
      <c r="G20" s="17"/>
      <c r="H20" s="17"/>
      <c r="I20" s="17"/>
      <c r="J20" s="17"/>
      <c r="K20" s="18"/>
      <c r="L20" s="18"/>
      <c r="M20" s="17"/>
      <c r="N20" s="17"/>
      <c r="O20" s="18"/>
      <c r="P20" s="17"/>
      <c r="Q20" s="18"/>
      <c r="R20" s="17"/>
      <c r="S20" s="17"/>
      <c r="T20" s="17"/>
      <c r="U20" s="18"/>
      <c r="V20" s="17"/>
    </row>
    <row r="21" spans="1:22">
      <c r="A21" s="17"/>
      <c r="B21" s="17"/>
      <c r="C21" s="17"/>
      <c r="D21" s="18"/>
      <c r="E21" s="17"/>
      <c r="F21" s="17"/>
      <c r="G21" s="17"/>
      <c r="H21" s="17"/>
      <c r="I21" s="17"/>
      <c r="J21" s="17"/>
      <c r="K21" s="18"/>
      <c r="L21" s="18"/>
      <c r="M21" s="17"/>
      <c r="N21" s="17"/>
      <c r="O21" s="18"/>
      <c r="P21" s="17"/>
      <c r="Q21" s="18"/>
      <c r="R21" s="17"/>
      <c r="S21" s="17"/>
      <c r="T21" s="17"/>
      <c r="U21" s="18"/>
      <c r="V21" s="17"/>
    </row>
    <row r="22" spans="1:22">
      <c r="A22" s="17"/>
      <c r="B22" s="17"/>
      <c r="C22" s="17"/>
      <c r="D22" s="18"/>
      <c r="E22" s="17"/>
      <c r="F22" s="17"/>
      <c r="G22" s="17"/>
      <c r="H22" s="17"/>
      <c r="I22" s="17"/>
      <c r="J22" s="17"/>
      <c r="K22" s="18"/>
      <c r="L22" s="18"/>
      <c r="M22" s="17"/>
      <c r="N22" s="17"/>
      <c r="O22" s="18"/>
      <c r="P22" s="17"/>
      <c r="Q22" s="18"/>
      <c r="R22" s="17"/>
      <c r="S22" s="17"/>
      <c r="T22" s="17"/>
      <c r="U22" s="18"/>
      <c r="V22" s="17"/>
    </row>
    <row r="23" spans="1:22">
      <c r="N23" s="17"/>
      <c r="O23" s="18"/>
      <c r="P23" s="17"/>
      <c r="Q23" s="18"/>
      <c r="R23" s="17"/>
      <c r="S23" s="17"/>
      <c r="T23" s="17"/>
      <c r="U23" s="18"/>
      <c r="V23" s="17"/>
    </row>
  </sheetData>
  <conditionalFormatting sqref="AA1:AA1048576">
    <cfRule type="cellIs" dxfId="37" priority="1" operator="greaterThan">
      <formula>80000</formula>
    </cfRule>
  </conditionalFormatting>
  <pageMargins left="0.75" right="0.75" top="1" bottom="1" header="0.5" footer="0.5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11" activePane="bottomLeft" state="frozen"/>
      <selection pane="bottomLeft" activeCell="C21" sqref="C21"/>
    </sheetView>
  </sheetViews>
  <sheetFormatPr defaultRowHeight="15"/>
  <cols>
    <col min="1" max="2" width="14" customWidth="1"/>
    <col min="3" max="3" width="58" customWidth="1"/>
    <col min="4" max="4" width="35" customWidth="1"/>
  </cols>
  <sheetData>
    <row r="1" spans="1:4" ht="30" customHeight="1">
      <c r="A1" s="1" t="s">
        <v>35</v>
      </c>
      <c r="B1" s="1" t="s">
        <v>36</v>
      </c>
      <c r="C1" s="1" t="s">
        <v>37</v>
      </c>
      <c r="D1" s="1" t="s">
        <v>38</v>
      </c>
    </row>
    <row r="2" spans="1:4" ht="45">
      <c r="A2" s="2">
        <v>1</v>
      </c>
      <c r="B2" s="2" t="s">
        <v>39</v>
      </c>
      <c r="C2" s="2" t="s">
        <v>40</v>
      </c>
      <c r="D2" s="2" t="s">
        <v>41</v>
      </c>
    </row>
    <row r="3" spans="1:4">
      <c r="A3" s="2">
        <v>2</v>
      </c>
      <c r="B3" s="2" t="s">
        <v>39</v>
      </c>
      <c r="C3" s="2" t="s">
        <v>42</v>
      </c>
      <c r="D3" s="2" t="s">
        <v>43</v>
      </c>
    </row>
    <row r="4" spans="1:4">
      <c r="A4" s="2">
        <v>3</v>
      </c>
      <c r="B4" s="2" t="s">
        <v>39</v>
      </c>
      <c r="C4" s="2" t="s">
        <v>44</v>
      </c>
      <c r="D4" s="2" t="s">
        <v>43</v>
      </c>
    </row>
    <row r="5" spans="1:4">
      <c r="A5" s="2">
        <v>4</v>
      </c>
      <c r="B5" s="2" t="s">
        <v>39</v>
      </c>
      <c r="C5" s="2" t="s">
        <v>45</v>
      </c>
      <c r="D5" s="2" t="s">
        <v>46</v>
      </c>
    </row>
    <row r="6" spans="1:4">
      <c r="A6" s="2">
        <v>5</v>
      </c>
      <c r="B6" s="2" t="s">
        <v>39</v>
      </c>
      <c r="C6" s="2" t="s">
        <v>47</v>
      </c>
      <c r="D6" s="2" t="s">
        <v>43</v>
      </c>
    </row>
    <row r="7" spans="1:4" ht="30">
      <c r="A7" s="2">
        <v>6</v>
      </c>
      <c r="B7" s="2" t="s">
        <v>48</v>
      </c>
      <c r="C7" s="2" t="s">
        <v>49</v>
      </c>
      <c r="D7" s="2" t="s">
        <v>50</v>
      </c>
    </row>
    <row r="8" spans="1:4">
      <c r="A8" s="2">
        <v>7</v>
      </c>
      <c r="B8" s="2" t="s">
        <v>48</v>
      </c>
      <c r="C8" s="2" t="s">
        <v>51</v>
      </c>
      <c r="D8" s="2" t="s">
        <v>52</v>
      </c>
    </row>
    <row r="9" spans="1:4">
      <c r="A9" s="2">
        <v>8</v>
      </c>
      <c r="B9" s="2" t="s">
        <v>48</v>
      </c>
      <c r="C9" s="2" t="s">
        <v>53</v>
      </c>
      <c r="D9" s="2" t="s">
        <v>54</v>
      </c>
    </row>
    <row r="10" spans="1:4" ht="30">
      <c r="A10" s="2">
        <v>9</v>
      </c>
      <c r="B10" s="2" t="s">
        <v>48</v>
      </c>
      <c r="C10" s="2" t="s">
        <v>55</v>
      </c>
      <c r="D10" s="2" t="s">
        <v>56</v>
      </c>
    </row>
    <row r="11" spans="1:4">
      <c r="A11" s="2">
        <v>10</v>
      </c>
      <c r="B11" s="2" t="s">
        <v>48</v>
      </c>
      <c r="C11" s="2" t="s">
        <v>57</v>
      </c>
      <c r="D11" s="2" t="s">
        <v>58</v>
      </c>
    </row>
    <row r="12" spans="1:4" ht="30">
      <c r="A12" s="2">
        <v>11</v>
      </c>
      <c r="B12" s="2" t="s">
        <v>59</v>
      </c>
      <c r="C12" s="2" t="s">
        <v>60</v>
      </c>
      <c r="D12" s="2" t="s">
        <v>61</v>
      </c>
    </row>
    <row r="13" spans="1:4">
      <c r="A13" s="2">
        <v>12</v>
      </c>
      <c r="B13" s="2" t="s">
        <v>59</v>
      </c>
      <c r="C13" s="2" t="s">
        <v>62</v>
      </c>
      <c r="D13" s="2" t="s">
        <v>63</v>
      </c>
    </row>
    <row r="14" spans="1:4" ht="30">
      <c r="A14" s="2">
        <v>13</v>
      </c>
      <c r="B14" s="2" t="s">
        <v>59</v>
      </c>
      <c r="C14" s="2" t="s">
        <v>64</v>
      </c>
      <c r="D14" s="2" t="s">
        <v>65</v>
      </c>
    </row>
    <row r="15" spans="1:4" ht="30">
      <c r="A15" s="2">
        <v>14</v>
      </c>
      <c r="B15" s="2" t="s">
        <v>59</v>
      </c>
      <c r="C15" s="2" t="s">
        <v>66</v>
      </c>
      <c r="D15" s="2" t="s">
        <v>63</v>
      </c>
    </row>
    <row r="16" spans="1:4" ht="30">
      <c r="A16" s="2">
        <v>15</v>
      </c>
      <c r="B16" s="2" t="s">
        <v>67</v>
      </c>
      <c r="C16" s="2" t="s">
        <v>68</v>
      </c>
      <c r="D16" s="2" t="s">
        <v>69</v>
      </c>
    </row>
    <row r="17" spans="1:4" ht="30">
      <c r="A17" s="2">
        <v>16</v>
      </c>
      <c r="B17" s="2" t="s">
        <v>70</v>
      </c>
      <c r="C17" s="2" t="s">
        <v>71</v>
      </c>
      <c r="D17" s="2" t="s">
        <v>72</v>
      </c>
    </row>
    <row r="18" spans="1:4" ht="30">
      <c r="A18" s="2">
        <v>17</v>
      </c>
      <c r="B18" s="2" t="s">
        <v>70</v>
      </c>
      <c r="C18" s="2" t="s">
        <v>73</v>
      </c>
      <c r="D18" s="2" t="s">
        <v>74</v>
      </c>
    </row>
    <row r="19" spans="1:4" ht="30">
      <c r="A19" s="2">
        <v>18</v>
      </c>
      <c r="B19" s="2" t="s">
        <v>70</v>
      </c>
      <c r="C19" s="2" t="s">
        <v>75</v>
      </c>
      <c r="D19" s="2" t="s">
        <v>76</v>
      </c>
    </row>
    <row r="20" spans="1:4" ht="45">
      <c r="A20" s="2">
        <v>19</v>
      </c>
      <c r="B20" s="2" t="s">
        <v>70</v>
      </c>
      <c r="C20" s="2" t="s">
        <v>77</v>
      </c>
      <c r="D20" s="2" t="s">
        <v>78</v>
      </c>
    </row>
    <row r="21" spans="1:4" ht="45">
      <c r="A21" s="2">
        <v>20</v>
      </c>
      <c r="B21" s="2" t="s">
        <v>70</v>
      </c>
      <c r="C21" s="2" t="s">
        <v>79</v>
      </c>
      <c r="D21" s="2" t="s">
        <v>80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pane ySplit="1" topLeftCell="A2" activePane="bottomLeft" state="frozen"/>
      <selection pane="bottomLeft" activeCell="A8" sqref="A8"/>
    </sheetView>
  </sheetViews>
  <sheetFormatPr defaultRowHeight="15"/>
  <cols>
    <col min="1" max="1" width="58" customWidth="1"/>
  </cols>
  <sheetData>
    <row r="1" spans="1:1" ht="30" customHeight="1">
      <c r="A1" s="1" t="s">
        <v>81</v>
      </c>
    </row>
    <row r="2" spans="1:1" ht="30">
      <c r="A2" s="2" t="s">
        <v>82</v>
      </c>
    </row>
    <row r="3" spans="1:1" ht="30">
      <c r="A3" s="2" t="s">
        <v>83</v>
      </c>
    </row>
    <row r="4" spans="1:1" ht="30">
      <c r="A4" s="2" t="s">
        <v>84</v>
      </c>
    </row>
    <row r="5" spans="1:1" ht="30">
      <c r="A5" s="2" t="s">
        <v>85</v>
      </c>
    </row>
    <row r="6" spans="1:1" ht="30">
      <c r="A6" s="2" t="s">
        <v>86</v>
      </c>
    </row>
    <row r="7" spans="1:1">
      <c r="A7" s="2" t="s">
        <v>87</v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Homework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tr055</cp:lastModifiedBy>
  <dcterms:created xsi:type="dcterms:W3CDTF">2026-10-09T17:08:42Z</dcterms:created>
  <dcterms:modified xsi:type="dcterms:W3CDTF">2026-10-15T04:20:15Z</dcterms:modified>
</cp:coreProperties>
</file>